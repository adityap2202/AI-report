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uencefinancial-my.sharepoint.com/personal/dhruv_convergentfinance_com/Documents/Desktop/Deals/knowledge marine databook/Ace databook/"/>
    </mc:Choice>
  </mc:AlternateContent>
  <xr:revisionPtr revIDLastSave="159" documentId="8_{781A5BDE-B521-434B-A68F-ED4F3D4C210D}" xr6:coauthVersionLast="47" xr6:coauthVersionMax="47" xr10:uidLastSave="{381B515C-CF23-49A7-B46B-D2CFF148ACF5}"/>
  <bookViews>
    <workbookView xWindow="-120" yWindow="-120" windowWidth="29040" windowHeight="15720" xr2:uid="{2B8F6613-5A8B-455E-8B77-03AE5CF06B27}"/>
  </bookViews>
  <sheets>
    <sheet name="Cover" sheetId="1" r:id="rId1"/>
    <sheet name="CF Dashboard" sheetId="14" r:id="rId2"/>
    <sheet name="CF BS" sheetId="13" r:id="rId3"/>
    <sheet name="CF IS" sheetId="12" r:id="rId4"/>
    <sheet name="CF CFS" sheetId="11" r:id="rId5"/>
    <sheet name="Equity &amp; reserves" sheetId="10" r:id="rId6"/>
    <sheet name="Borrowings" sheetId="9" r:id="rId7"/>
    <sheet name="Other liabilities" sheetId="8" r:id="rId8"/>
    <sheet name="Other assets" sheetId="7" r:id="rId9"/>
    <sheet name="PPE" sheetId="6" r:id="rId10"/>
    <sheet name="Working capital" sheetId="5" r:id="rId11"/>
    <sheet name="Revenue &amp; OI" sheetId="4" r:id="rId12"/>
    <sheet name="Expenses" sheetId="3" r:id="rId13"/>
    <sheet name="Detailed CFS" sheetId="2" r:id="rId14"/>
  </sheets>
  <definedNames>
    <definedName name="_xlnm.Print_Area" localSheetId="3">'CF IS'!$A$1:$L$41</definedName>
    <definedName name="_xlnm.Print_Titles" localSheetId="6">Borrowings!$1:$4</definedName>
    <definedName name="_xlnm.Print_Titles" localSheetId="2">'CF BS'!$1:$4</definedName>
    <definedName name="_xlnm.Print_Titles" localSheetId="4">'CF CFS'!$1:$4</definedName>
    <definedName name="_xlnm.Print_Titles" localSheetId="1">'CF Dashboard'!$1:$4</definedName>
    <definedName name="_xlnm.Print_Titles" localSheetId="3">'CF IS'!$1:$4</definedName>
    <definedName name="_xlnm.Print_Titles" localSheetId="13">'Detailed CFS'!$1:$5</definedName>
    <definedName name="_xlnm.Print_Titles" localSheetId="5">'Equity &amp; reserves'!$1:$4</definedName>
    <definedName name="_xlnm.Print_Titles" localSheetId="12">Expenses!$1:$4</definedName>
    <definedName name="_xlnm.Print_Titles" localSheetId="8">'Other assets'!$1:$4</definedName>
    <definedName name="_xlnm.Print_Titles" localSheetId="7">'Other liabilities'!$1:$4</definedName>
    <definedName name="_xlnm.Print_Titles" localSheetId="9">PPE!$1:$4</definedName>
    <definedName name="_xlnm.Print_Titles" localSheetId="11">'Revenue &amp; OI'!$1:$4</definedName>
    <definedName name="_xlnm.Print_Titles" localSheetId="10">'Working capital'!$1:$4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2" l="1"/>
  <c r="L40" i="12"/>
  <c r="L41" i="12"/>
  <c r="L23" i="12"/>
  <c r="L12" i="12"/>
  <c r="L11" i="12"/>
  <c r="L5" i="12"/>
  <c r="L38" i="12"/>
  <c r="L29" i="12"/>
  <c r="L26" i="12"/>
  <c r="L25" i="12"/>
  <c r="L20" i="12"/>
  <c r="L8" i="12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3" i="11"/>
  <c r="J24" i="11"/>
  <c r="J25" i="11"/>
  <c r="J26" i="11"/>
  <c r="J27" i="11"/>
  <c r="J28" i="11"/>
  <c r="J31" i="11"/>
  <c r="J32" i="11"/>
  <c r="J33" i="11"/>
  <c r="J34" i="11"/>
  <c r="J35" i="11"/>
  <c r="J36" i="11"/>
  <c r="J37" i="11"/>
  <c r="J38" i="11"/>
  <c r="J44" i="11"/>
  <c r="J47" i="11"/>
  <c r="J48" i="11"/>
  <c r="J49" i="11" s="1"/>
  <c r="J14" i="14"/>
  <c r="J15" i="14"/>
  <c r="J16" i="14"/>
  <c r="J11" i="14" s="1"/>
  <c r="J18" i="14"/>
  <c r="J12" i="14" s="1"/>
  <c r="J19" i="14"/>
  <c r="J24" i="14"/>
  <c r="J26" i="14"/>
  <c r="J49" i="13"/>
  <c r="J50" i="13"/>
  <c r="J29" i="14" s="1"/>
  <c r="J28" i="14"/>
  <c r="J31" i="14"/>
  <c r="J7" i="14"/>
  <c r="J53" i="13"/>
  <c r="J54" i="13"/>
  <c r="J55" i="13"/>
  <c r="J56" i="13"/>
  <c r="J57" i="13"/>
  <c r="J58" i="13"/>
  <c r="J59" i="13"/>
  <c r="J60" i="13"/>
  <c r="J30" i="13"/>
  <c r="J39" i="13"/>
  <c r="J38" i="13"/>
  <c r="J34" i="13"/>
  <c r="J19" i="13"/>
  <c r="J23" i="12"/>
  <c r="I26" i="12"/>
  <c r="L14" i="12" l="1"/>
  <c r="L33" i="12" s="1"/>
  <c r="L16" i="12"/>
  <c r="L19" i="12" s="1"/>
  <c r="L21" i="12" s="1"/>
  <c r="L32" i="12"/>
  <c r="J40" i="11"/>
  <c r="J51" i="11" s="1"/>
  <c r="J42" i="11"/>
  <c r="J21" i="14" s="1"/>
  <c r="J8" i="14"/>
  <c r="J10" i="14" s="1"/>
  <c r="J5" i="13"/>
  <c r="J5" i="11"/>
  <c r="J5" i="12"/>
  <c r="J29" i="12"/>
  <c r="J26" i="12"/>
  <c r="J25" i="12"/>
  <c r="J20" i="12"/>
  <c r="J12" i="12"/>
  <c r="J11" i="12"/>
  <c r="J8" i="12"/>
  <c r="J14" i="12" s="1"/>
  <c r="J16" i="12" s="1"/>
  <c r="J19" i="12" s="1"/>
  <c r="J21" i="12" s="1"/>
  <c r="J24" i="12" s="1"/>
  <c r="J27" i="12" s="1"/>
  <c r="J44" i="13"/>
  <c r="J35" i="13"/>
  <c r="J41" i="13" s="1"/>
  <c r="J29" i="13"/>
  <c r="J28" i="13"/>
  <c r="J22" i="13"/>
  <c r="J16" i="13"/>
  <c r="J8" i="13"/>
  <c r="J7" i="13"/>
  <c r="J10" i="13"/>
  <c r="J23" i="14"/>
  <c r="A1" i="14"/>
  <c r="D31" i="14"/>
  <c r="E31" i="14"/>
  <c r="E7" i="14" s="1"/>
  <c r="F31" i="14"/>
  <c r="F7" i="14" s="1"/>
  <c r="G31" i="14"/>
  <c r="G7" i="14" s="1"/>
  <c r="H31" i="14"/>
  <c r="H7" i="14" s="1"/>
  <c r="I31" i="14"/>
  <c r="I7" i="14" s="1"/>
  <c r="C28" i="14"/>
  <c r="C29" i="14"/>
  <c r="C31" i="14"/>
  <c r="C7" i="14" s="1"/>
  <c r="B1" i="12"/>
  <c r="D29" i="12"/>
  <c r="E29" i="12"/>
  <c r="F29" i="12"/>
  <c r="G29" i="12"/>
  <c r="H29" i="12"/>
  <c r="I29" i="12"/>
  <c r="D26" i="12"/>
  <c r="E26" i="12"/>
  <c r="F26" i="12"/>
  <c r="G26" i="12"/>
  <c r="H26" i="12"/>
  <c r="D25" i="12"/>
  <c r="E25" i="12"/>
  <c r="F25" i="12"/>
  <c r="G25" i="12"/>
  <c r="H25" i="12"/>
  <c r="I25" i="12"/>
  <c r="D15" i="12"/>
  <c r="E15" i="12"/>
  <c r="F15" i="12"/>
  <c r="G15" i="12"/>
  <c r="H15" i="12"/>
  <c r="I15" i="12"/>
  <c r="D5" i="12"/>
  <c r="E5" i="12"/>
  <c r="F5" i="12"/>
  <c r="G5" i="12"/>
  <c r="H5" i="12"/>
  <c r="I5" i="12"/>
  <c r="C5" i="12"/>
  <c r="C15" i="12"/>
  <c r="C25" i="12"/>
  <c r="C26" i="12"/>
  <c r="C29" i="12"/>
  <c r="B1" i="13"/>
  <c r="D44" i="13"/>
  <c r="E44" i="13"/>
  <c r="F44" i="13"/>
  <c r="G44" i="13"/>
  <c r="H44" i="13"/>
  <c r="I44" i="13"/>
  <c r="D32" i="13"/>
  <c r="E32" i="13"/>
  <c r="F32" i="13"/>
  <c r="G32" i="13"/>
  <c r="H32" i="13"/>
  <c r="I32" i="13"/>
  <c r="D22" i="13"/>
  <c r="E22" i="13"/>
  <c r="F22" i="13"/>
  <c r="G22" i="13"/>
  <c r="H22" i="13"/>
  <c r="I22" i="13"/>
  <c r="D21" i="13"/>
  <c r="E21" i="13"/>
  <c r="F21" i="13"/>
  <c r="G21" i="13"/>
  <c r="H21" i="13"/>
  <c r="I21" i="13"/>
  <c r="D16" i="13"/>
  <c r="D15" i="13"/>
  <c r="E15" i="13"/>
  <c r="F15" i="13"/>
  <c r="G15" i="13"/>
  <c r="H15" i="13"/>
  <c r="I15" i="13"/>
  <c r="D14" i="13"/>
  <c r="E14" i="13"/>
  <c r="E16" i="13" s="1"/>
  <c r="F14" i="13"/>
  <c r="F16" i="13" s="1"/>
  <c r="G14" i="13"/>
  <c r="G16" i="13" s="1"/>
  <c r="H14" i="13"/>
  <c r="H16" i="13" s="1"/>
  <c r="I14" i="13"/>
  <c r="I16" i="13" s="1"/>
  <c r="D12" i="13"/>
  <c r="E12" i="13"/>
  <c r="F12" i="13"/>
  <c r="G12" i="13"/>
  <c r="H12" i="13"/>
  <c r="I12" i="13"/>
  <c r="D9" i="13"/>
  <c r="E9" i="13"/>
  <c r="F9" i="13"/>
  <c r="G9" i="13"/>
  <c r="H9" i="13"/>
  <c r="I9" i="13"/>
  <c r="D8" i="13"/>
  <c r="E8" i="13"/>
  <c r="F8" i="13"/>
  <c r="G8" i="13"/>
  <c r="H8" i="13"/>
  <c r="I8" i="13"/>
  <c r="D7" i="13"/>
  <c r="E7" i="13"/>
  <c r="F7" i="13"/>
  <c r="G7" i="13"/>
  <c r="H7" i="13"/>
  <c r="I7" i="13"/>
  <c r="D6" i="13"/>
  <c r="E6" i="13"/>
  <c r="F6" i="13"/>
  <c r="G6" i="13"/>
  <c r="H6" i="13"/>
  <c r="I6" i="13"/>
  <c r="D5" i="13"/>
  <c r="E5" i="13"/>
  <c r="F5" i="13"/>
  <c r="G5" i="13"/>
  <c r="H5" i="13"/>
  <c r="I5" i="13"/>
  <c r="C5" i="13"/>
  <c r="C6" i="13"/>
  <c r="C7" i="13"/>
  <c r="C8" i="13"/>
  <c r="C9" i="13"/>
  <c r="C12" i="13"/>
  <c r="C14" i="13"/>
  <c r="C15" i="13"/>
  <c r="C21" i="13"/>
  <c r="C22" i="13"/>
  <c r="C32" i="13"/>
  <c r="C44" i="13"/>
  <c r="B1" i="11"/>
  <c r="D44" i="11"/>
  <c r="E44" i="11"/>
  <c r="F44" i="11"/>
  <c r="G44" i="11"/>
  <c r="H44" i="11"/>
  <c r="I44" i="11"/>
  <c r="D38" i="11"/>
  <c r="E38" i="11"/>
  <c r="F38" i="11"/>
  <c r="G38" i="11"/>
  <c r="H38" i="11"/>
  <c r="I38" i="11"/>
  <c r="D37" i="11"/>
  <c r="E37" i="11"/>
  <c r="F37" i="11"/>
  <c r="G37" i="11"/>
  <c r="H37" i="11"/>
  <c r="I37" i="11"/>
  <c r="D36" i="11"/>
  <c r="E36" i="11"/>
  <c r="F36" i="11"/>
  <c r="G36" i="11"/>
  <c r="H36" i="11"/>
  <c r="I36" i="11"/>
  <c r="D35" i="11"/>
  <c r="E35" i="11"/>
  <c r="F35" i="11"/>
  <c r="G35" i="11"/>
  <c r="H35" i="11"/>
  <c r="I35" i="11"/>
  <c r="D34" i="11"/>
  <c r="E34" i="11"/>
  <c r="F34" i="11"/>
  <c r="G34" i="11"/>
  <c r="H34" i="11"/>
  <c r="I34" i="11"/>
  <c r="D33" i="11"/>
  <c r="E33" i="11"/>
  <c r="F33" i="11"/>
  <c r="G33" i="11"/>
  <c r="H33" i="11"/>
  <c r="I33" i="11"/>
  <c r="D32" i="11"/>
  <c r="E32" i="11"/>
  <c r="F32" i="11"/>
  <c r="G32" i="11"/>
  <c r="H32" i="11"/>
  <c r="I32" i="11"/>
  <c r="D31" i="11"/>
  <c r="E31" i="11"/>
  <c r="F31" i="11"/>
  <c r="G31" i="11"/>
  <c r="H31" i="11"/>
  <c r="I31" i="11"/>
  <c r="I39" i="11" s="1"/>
  <c r="D28" i="11"/>
  <c r="E28" i="11"/>
  <c r="F28" i="11"/>
  <c r="G28" i="11"/>
  <c r="H28" i="11"/>
  <c r="I28" i="11"/>
  <c r="D27" i="11"/>
  <c r="E27" i="11"/>
  <c r="F27" i="11"/>
  <c r="G27" i="11"/>
  <c r="H27" i="11"/>
  <c r="I27" i="11"/>
  <c r="D26" i="11"/>
  <c r="E26" i="11"/>
  <c r="F26" i="11"/>
  <c r="G26" i="11"/>
  <c r="H26" i="11"/>
  <c r="I26" i="11"/>
  <c r="D25" i="11"/>
  <c r="E25" i="11"/>
  <c r="F25" i="11"/>
  <c r="G25" i="11"/>
  <c r="H25" i="11"/>
  <c r="I25" i="11"/>
  <c r="D24" i="11"/>
  <c r="E24" i="11"/>
  <c r="F24" i="11"/>
  <c r="G24" i="11"/>
  <c r="H24" i="11"/>
  <c r="I24" i="11"/>
  <c r="D23" i="11"/>
  <c r="E23" i="11"/>
  <c r="F23" i="11"/>
  <c r="G23" i="11"/>
  <c r="H23" i="11"/>
  <c r="I23" i="11"/>
  <c r="D19" i="11"/>
  <c r="E19" i="11"/>
  <c r="F19" i="11"/>
  <c r="G19" i="11"/>
  <c r="H19" i="11"/>
  <c r="I19" i="11"/>
  <c r="D18" i="11"/>
  <c r="E18" i="11"/>
  <c r="F18" i="11"/>
  <c r="G18" i="11"/>
  <c r="H18" i="11"/>
  <c r="I18" i="11"/>
  <c r="D17" i="11"/>
  <c r="E17" i="11"/>
  <c r="F17" i="11"/>
  <c r="G17" i="11"/>
  <c r="H17" i="11"/>
  <c r="I17" i="11"/>
  <c r="D16" i="11"/>
  <c r="E16" i="11"/>
  <c r="F16" i="11"/>
  <c r="G16" i="11"/>
  <c r="H16" i="11"/>
  <c r="I16" i="11"/>
  <c r="D15" i="11"/>
  <c r="E15" i="11"/>
  <c r="F15" i="11"/>
  <c r="G15" i="11"/>
  <c r="H15" i="11"/>
  <c r="I15" i="11"/>
  <c r="D13" i="11"/>
  <c r="E13" i="11"/>
  <c r="F13" i="11"/>
  <c r="G13" i="11"/>
  <c r="H13" i="11"/>
  <c r="I13" i="11"/>
  <c r="D12" i="11"/>
  <c r="E12" i="11"/>
  <c r="F12" i="11"/>
  <c r="G12" i="11"/>
  <c r="H12" i="11"/>
  <c r="I12" i="11"/>
  <c r="D11" i="11"/>
  <c r="E11" i="11"/>
  <c r="F11" i="11"/>
  <c r="G11" i="11"/>
  <c r="H11" i="11"/>
  <c r="I11" i="11"/>
  <c r="D10" i="11"/>
  <c r="E10" i="11"/>
  <c r="F10" i="11"/>
  <c r="G10" i="11"/>
  <c r="H10" i="11"/>
  <c r="I10" i="11"/>
  <c r="D9" i="11"/>
  <c r="E9" i="11"/>
  <c r="F9" i="11"/>
  <c r="G9" i="11"/>
  <c r="H9" i="11"/>
  <c r="I9" i="11"/>
  <c r="D8" i="11"/>
  <c r="E8" i="11"/>
  <c r="F8" i="11"/>
  <c r="G8" i="11"/>
  <c r="H8" i="11"/>
  <c r="I8" i="11"/>
  <c r="D7" i="11"/>
  <c r="E7" i="11"/>
  <c r="F7" i="11"/>
  <c r="G7" i="11"/>
  <c r="H7" i="11"/>
  <c r="I7" i="11"/>
  <c r="D6" i="11"/>
  <c r="E6" i="11"/>
  <c r="F6" i="11"/>
  <c r="G6" i="11"/>
  <c r="H6" i="11"/>
  <c r="I6" i="11"/>
  <c r="D5" i="11"/>
  <c r="E5" i="11"/>
  <c r="F5" i="11"/>
  <c r="G5" i="11"/>
  <c r="H5" i="11"/>
  <c r="I5" i="11"/>
  <c r="C5" i="11"/>
  <c r="C6" i="11"/>
  <c r="C7" i="11"/>
  <c r="C8" i="11"/>
  <c r="C9" i="11"/>
  <c r="C10" i="11"/>
  <c r="C11" i="11"/>
  <c r="C12" i="11"/>
  <c r="C13" i="11"/>
  <c r="C15" i="11"/>
  <c r="C16" i="11"/>
  <c r="C17" i="11"/>
  <c r="C18" i="11"/>
  <c r="C19" i="11"/>
  <c r="C23" i="11"/>
  <c r="C24" i="11"/>
  <c r="C25" i="11"/>
  <c r="C26" i="11"/>
  <c r="C27" i="11"/>
  <c r="C28" i="11"/>
  <c r="C31" i="11"/>
  <c r="C32" i="11"/>
  <c r="C33" i="11"/>
  <c r="C34" i="11"/>
  <c r="C35" i="11"/>
  <c r="C36" i="11"/>
  <c r="C37" i="11"/>
  <c r="C38" i="11"/>
  <c r="C44" i="11"/>
  <c r="B1" i="10"/>
  <c r="D53" i="10"/>
  <c r="E53" i="10"/>
  <c r="F53" i="10"/>
  <c r="G53" i="10"/>
  <c r="H53" i="10"/>
  <c r="I53" i="10"/>
  <c r="D51" i="10"/>
  <c r="E51" i="10"/>
  <c r="F51" i="10"/>
  <c r="G51" i="10"/>
  <c r="H51" i="10"/>
  <c r="I51" i="10"/>
  <c r="D50" i="10"/>
  <c r="E50" i="10"/>
  <c r="F50" i="10"/>
  <c r="G50" i="10"/>
  <c r="H50" i="10"/>
  <c r="I50" i="10"/>
  <c r="D20" i="10"/>
  <c r="E20" i="10"/>
  <c r="F20" i="10"/>
  <c r="G20" i="10"/>
  <c r="H20" i="10"/>
  <c r="I20" i="10"/>
  <c r="D15" i="10"/>
  <c r="E15" i="10"/>
  <c r="F15" i="10"/>
  <c r="G15" i="10"/>
  <c r="H15" i="10"/>
  <c r="I15" i="10"/>
  <c r="C15" i="10"/>
  <c r="C20" i="10"/>
  <c r="C50" i="10"/>
  <c r="B1" i="9"/>
  <c r="D126" i="9"/>
  <c r="E126" i="9"/>
  <c r="F126" i="9"/>
  <c r="G126" i="9"/>
  <c r="H126" i="9"/>
  <c r="I126" i="9"/>
  <c r="D124" i="9"/>
  <c r="E124" i="9"/>
  <c r="F124" i="9"/>
  <c r="G124" i="9"/>
  <c r="H124" i="9"/>
  <c r="I124" i="9"/>
  <c r="D117" i="9"/>
  <c r="E117" i="9"/>
  <c r="F117" i="9"/>
  <c r="G117" i="9"/>
  <c r="H117" i="9"/>
  <c r="I117" i="9"/>
  <c r="D115" i="9"/>
  <c r="E115" i="9"/>
  <c r="F115" i="9"/>
  <c r="G115" i="9"/>
  <c r="H115" i="9"/>
  <c r="I115" i="9"/>
  <c r="D107" i="9"/>
  <c r="E107" i="9"/>
  <c r="F107" i="9"/>
  <c r="G107" i="9"/>
  <c r="H107" i="9"/>
  <c r="I107" i="9"/>
  <c r="D102" i="9"/>
  <c r="E102" i="9"/>
  <c r="F102" i="9"/>
  <c r="G102" i="9"/>
  <c r="H102" i="9"/>
  <c r="I102" i="9"/>
  <c r="D98" i="9"/>
  <c r="E98" i="9"/>
  <c r="F98" i="9"/>
  <c r="G98" i="9"/>
  <c r="H98" i="9"/>
  <c r="I98" i="9"/>
  <c r="D94" i="9"/>
  <c r="E94" i="9"/>
  <c r="F94" i="9"/>
  <c r="G94" i="9"/>
  <c r="H94" i="9"/>
  <c r="I94" i="9"/>
  <c r="D89" i="9"/>
  <c r="E89" i="9"/>
  <c r="F89" i="9"/>
  <c r="G89" i="9"/>
  <c r="H89" i="9"/>
  <c r="I89" i="9"/>
  <c r="D84" i="9"/>
  <c r="E84" i="9"/>
  <c r="F84" i="9"/>
  <c r="G84" i="9"/>
  <c r="H84" i="9"/>
  <c r="I84" i="9"/>
  <c r="D80" i="9"/>
  <c r="E80" i="9"/>
  <c r="F80" i="9"/>
  <c r="G80" i="9"/>
  <c r="H80" i="9"/>
  <c r="I80" i="9"/>
  <c r="D76" i="9"/>
  <c r="E76" i="9"/>
  <c r="F76" i="9"/>
  <c r="G76" i="9"/>
  <c r="H76" i="9"/>
  <c r="I76" i="9"/>
  <c r="D73" i="9"/>
  <c r="E73" i="9"/>
  <c r="F73" i="9"/>
  <c r="G73" i="9"/>
  <c r="H73" i="9"/>
  <c r="I73" i="9"/>
  <c r="D48" i="9"/>
  <c r="E48" i="9"/>
  <c r="F48" i="9"/>
  <c r="G48" i="9"/>
  <c r="H48" i="9"/>
  <c r="I48" i="9"/>
  <c r="D40" i="9"/>
  <c r="E40" i="9"/>
  <c r="F40" i="9"/>
  <c r="G40" i="9"/>
  <c r="H40" i="9"/>
  <c r="I40" i="9"/>
  <c r="D28" i="9"/>
  <c r="E28" i="9"/>
  <c r="F28" i="9"/>
  <c r="G28" i="9"/>
  <c r="H28" i="9"/>
  <c r="I28" i="9"/>
  <c r="D24" i="9"/>
  <c r="E24" i="9"/>
  <c r="F24" i="9"/>
  <c r="G24" i="9"/>
  <c r="H24" i="9"/>
  <c r="I24" i="9"/>
  <c r="D20" i="9"/>
  <c r="E20" i="9"/>
  <c r="F20" i="9"/>
  <c r="G20" i="9"/>
  <c r="H20" i="9"/>
  <c r="I20" i="9"/>
  <c r="D17" i="9"/>
  <c r="E17" i="9"/>
  <c r="F17" i="9"/>
  <c r="G17" i="9"/>
  <c r="H17" i="9"/>
  <c r="I17" i="9"/>
  <c r="C17" i="9"/>
  <c r="C20" i="9"/>
  <c r="C24" i="9"/>
  <c r="C28" i="9"/>
  <c r="C40" i="9"/>
  <c r="C73" i="9"/>
  <c r="C80" i="9"/>
  <c r="C84" i="9"/>
  <c r="C89" i="9"/>
  <c r="C98" i="9"/>
  <c r="C102" i="9"/>
  <c r="C107" i="9"/>
  <c r="C115" i="9" s="1"/>
  <c r="B1" i="8"/>
  <c r="D53" i="8"/>
  <c r="E53" i="8"/>
  <c r="F53" i="8"/>
  <c r="G53" i="8"/>
  <c r="H53" i="8"/>
  <c r="I53" i="8"/>
  <c r="D51" i="8"/>
  <c r="E51" i="8"/>
  <c r="F51" i="8"/>
  <c r="G51" i="8"/>
  <c r="H51" i="8"/>
  <c r="I51" i="8"/>
  <c r="D43" i="8"/>
  <c r="E43" i="8"/>
  <c r="F43" i="8"/>
  <c r="G43" i="8"/>
  <c r="H43" i="8"/>
  <c r="I43" i="8"/>
  <c r="D38" i="8"/>
  <c r="E38" i="8"/>
  <c r="F38" i="8"/>
  <c r="G38" i="8"/>
  <c r="H38" i="8"/>
  <c r="I38" i="8"/>
  <c r="D27" i="8"/>
  <c r="E27" i="8"/>
  <c r="F27" i="8"/>
  <c r="G27" i="8"/>
  <c r="H27" i="8"/>
  <c r="I27" i="8"/>
  <c r="D25" i="8"/>
  <c r="E25" i="8"/>
  <c r="F25" i="8"/>
  <c r="G25" i="8"/>
  <c r="H25" i="8"/>
  <c r="I25" i="8"/>
  <c r="D17" i="8"/>
  <c r="E17" i="8"/>
  <c r="F17" i="8"/>
  <c r="G17" i="8"/>
  <c r="H17" i="8"/>
  <c r="I17" i="8"/>
  <c r="C17" i="8"/>
  <c r="C25" i="8"/>
  <c r="C38" i="8"/>
  <c r="C43" i="8"/>
  <c r="C51" i="8"/>
  <c r="B1" i="7"/>
  <c r="D81" i="7"/>
  <c r="E81" i="7"/>
  <c r="F81" i="7"/>
  <c r="G81" i="7"/>
  <c r="H81" i="7"/>
  <c r="I81" i="7"/>
  <c r="D62" i="7"/>
  <c r="D64" i="7" s="1"/>
  <c r="D69" i="7" s="1"/>
  <c r="D38" i="13" s="1"/>
  <c r="D48" i="11" s="1"/>
  <c r="E47" i="11" s="1"/>
  <c r="E62" i="7"/>
  <c r="E64" i="7" s="1"/>
  <c r="E69" i="7" s="1"/>
  <c r="E38" i="13" s="1"/>
  <c r="E48" i="11" s="1"/>
  <c r="F47" i="11" s="1"/>
  <c r="F62" i="7"/>
  <c r="F64" i="7" s="1"/>
  <c r="F69" i="7" s="1"/>
  <c r="F38" i="13" s="1"/>
  <c r="F48" i="11" s="1"/>
  <c r="G62" i="7"/>
  <c r="G64" i="7" s="1"/>
  <c r="G69" i="7" s="1"/>
  <c r="G38" i="13" s="1"/>
  <c r="G48" i="11" s="1"/>
  <c r="H47" i="11" s="1"/>
  <c r="H62" i="7"/>
  <c r="H64" i="7" s="1"/>
  <c r="H69" i="7" s="1"/>
  <c r="H38" i="13" s="1"/>
  <c r="H48" i="11" s="1"/>
  <c r="I47" i="11" s="1"/>
  <c r="I62" i="7"/>
  <c r="I64" i="7" s="1"/>
  <c r="I69" i="7" s="1"/>
  <c r="I38" i="13" s="1"/>
  <c r="I48" i="11" s="1"/>
  <c r="D57" i="7"/>
  <c r="E57" i="7"/>
  <c r="F57" i="7"/>
  <c r="G57" i="7"/>
  <c r="H57" i="7"/>
  <c r="I57" i="7"/>
  <c r="D45" i="7"/>
  <c r="E45" i="7"/>
  <c r="F45" i="7"/>
  <c r="G45" i="7"/>
  <c r="H45" i="7"/>
  <c r="I45" i="7"/>
  <c r="D41" i="7"/>
  <c r="E41" i="7"/>
  <c r="F41" i="7"/>
  <c r="G41" i="7"/>
  <c r="H41" i="7"/>
  <c r="I41" i="7"/>
  <c r="D30" i="7"/>
  <c r="D33" i="7" s="1"/>
  <c r="E30" i="7"/>
  <c r="E33" i="7" s="1"/>
  <c r="F30" i="7"/>
  <c r="F33" i="7" s="1"/>
  <c r="G30" i="7"/>
  <c r="G33" i="7" s="1"/>
  <c r="H30" i="7"/>
  <c r="H33" i="7" s="1"/>
  <c r="I30" i="7"/>
  <c r="I33" i="7" s="1"/>
  <c r="D15" i="7"/>
  <c r="D19" i="7" s="1"/>
  <c r="E15" i="7"/>
  <c r="E19" i="7" s="1"/>
  <c r="F15" i="7"/>
  <c r="F19" i="7" s="1"/>
  <c r="G15" i="7"/>
  <c r="G19" i="7" s="1"/>
  <c r="H15" i="7"/>
  <c r="H19" i="7" s="1"/>
  <c r="I15" i="7"/>
  <c r="I19" i="7" s="1"/>
  <c r="C15" i="7"/>
  <c r="C19" i="7" s="1"/>
  <c r="C30" i="7"/>
  <c r="C41" i="7"/>
  <c r="C45" i="7"/>
  <c r="C57" i="7"/>
  <c r="C62" i="7"/>
  <c r="C81" i="7"/>
  <c r="B1" i="6"/>
  <c r="D42" i="6"/>
  <c r="E42" i="6"/>
  <c r="F42" i="6"/>
  <c r="G42" i="6"/>
  <c r="H42" i="6"/>
  <c r="I42" i="6"/>
  <c r="D28" i="6"/>
  <c r="D29" i="13" s="1"/>
  <c r="E28" i="6"/>
  <c r="E29" i="13" s="1"/>
  <c r="F28" i="6"/>
  <c r="F29" i="13" s="1"/>
  <c r="G28" i="6"/>
  <c r="G29" i="13" s="1"/>
  <c r="H28" i="6"/>
  <c r="H29" i="13" s="1"/>
  <c r="I28" i="6"/>
  <c r="I29" i="13" s="1"/>
  <c r="D16" i="6"/>
  <c r="D28" i="13" s="1"/>
  <c r="E16" i="6"/>
  <c r="E28" i="13" s="1"/>
  <c r="F16" i="6"/>
  <c r="F28" i="13" s="1"/>
  <c r="G16" i="6"/>
  <c r="G28" i="13" s="1"/>
  <c r="H16" i="6"/>
  <c r="H28" i="13" s="1"/>
  <c r="I16" i="6"/>
  <c r="I28" i="13" s="1"/>
  <c r="C16" i="6"/>
  <c r="C28" i="13" s="1"/>
  <c r="C28" i="6"/>
  <c r="C29" i="13" s="1"/>
  <c r="C42" i="6"/>
  <c r="B1" i="5"/>
  <c r="D99" i="5"/>
  <c r="E99" i="5"/>
  <c r="F99" i="5"/>
  <c r="G99" i="5"/>
  <c r="H99" i="5"/>
  <c r="I99" i="5"/>
  <c r="D87" i="5"/>
  <c r="E87" i="5"/>
  <c r="F87" i="5"/>
  <c r="G87" i="5"/>
  <c r="H87" i="5"/>
  <c r="I87" i="5"/>
  <c r="D83" i="5"/>
  <c r="E83" i="5"/>
  <c r="F83" i="5"/>
  <c r="G83" i="5"/>
  <c r="H83" i="5"/>
  <c r="I83" i="5"/>
  <c r="D78" i="5"/>
  <c r="D39" i="13" s="1"/>
  <c r="E78" i="5"/>
  <c r="E39" i="13" s="1"/>
  <c r="F78" i="5"/>
  <c r="F39" i="13" s="1"/>
  <c r="G78" i="5"/>
  <c r="G39" i="13" s="1"/>
  <c r="H78" i="5"/>
  <c r="H39" i="13" s="1"/>
  <c r="I78" i="5"/>
  <c r="I39" i="13" s="1"/>
  <c r="D69" i="5"/>
  <c r="E69" i="5"/>
  <c r="F69" i="5"/>
  <c r="G69" i="5"/>
  <c r="H69" i="5"/>
  <c r="I69" i="5"/>
  <c r="D65" i="5"/>
  <c r="E65" i="5"/>
  <c r="F65" i="5"/>
  <c r="G65" i="5"/>
  <c r="H65" i="5"/>
  <c r="I65" i="5"/>
  <c r="D61" i="5"/>
  <c r="E61" i="5"/>
  <c r="F61" i="5"/>
  <c r="G61" i="5"/>
  <c r="H61" i="5"/>
  <c r="I61" i="5"/>
  <c r="D57" i="5"/>
  <c r="D36" i="13" s="1"/>
  <c r="D54" i="13" s="1"/>
  <c r="E57" i="5"/>
  <c r="E36" i="13" s="1"/>
  <c r="F57" i="5"/>
  <c r="F36" i="13" s="1"/>
  <c r="G57" i="5"/>
  <c r="G36" i="13" s="1"/>
  <c r="H57" i="5"/>
  <c r="H36" i="13" s="1"/>
  <c r="I57" i="5"/>
  <c r="I36" i="13" s="1"/>
  <c r="D41" i="5"/>
  <c r="E41" i="5"/>
  <c r="F41" i="5"/>
  <c r="G41" i="5"/>
  <c r="H41" i="5"/>
  <c r="I41" i="5"/>
  <c r="D36" i="5"/>
  <c r="E36" i="5"/>
  <c r="F36" i="5"/>
  <c r="G36" i="5"/>
  <c r="H36" i="5"/>
  <c r="I36" i="5"/>
  <c r="D25" i="5"/>
  <c r="D19" i="13" s="1"/>
  <c r="E25" i="5"/>
  <c r="E19" i="13" s="1"/>
  <c r="F25" i="5"/>
  <c r="F19" i="13" s="1"/>
  <c r="G25" i="5"/>
  <c r="G19" i="13" s="1"/>
  <c r="H25" i="5"/>
  <c r="H19" i="13" s="1"/>
  <c r="I25" i="5"/>
  <c r="I19" i="13" s="1"/>
  <c r="D20" i="5"/>
  <c r="D20" i="13" s="1"/>
  <c r="D58" i="13" s="1"/>
  <c r="E20" i="5"/>
  <c r="E20" i="13" s="1"/>
  <c r="F20" i="5"/>
  <c r="F20" i="13" s="1"/>
  <c r="G20" i="5"/>
  <c r="G20" i="13" s="1"/>
  <c r="H20" i="5"/>
  <c r="H20" i="13" s="1"/>
  <c r="I20" i="5"/>
  <c r="I20" i="13" s="1"/>
  <c r="D11" i="5"/>
  <c r="D15" i="5" s="1"/>
  <c r="D18" i="13" s="1"/>
  <c r="E11" i="5"/>
  <c r="E15" i="5" s="1"/>
  <c r="E18" i="13" s="1"/>
  <c r="F11" i="5"/>
  <c r="F15" i="5" s="1"/>
  <c r="F18" i="13" s="1"/>
  <c r="G11" i="5"/>
  <c r="G15" i="5" s="1"/>
  <c r="G18" i="13" s="1"/>
  <c r="H11" i="5"/>
  <c r="H15" i="5" s="1"/>
  <c r="H18" i="13" s="1"/>
  <c r="I11" i="5"/>
  <c r="I15" i="5" s="1"/>
  <c r="I18" i="13" s="1"/>
  <c r="C11" i="5"/>
  <c r="C15" i="5" s="1"/>
  <c r="C18" i="13" s="1"/>
  <c r="C20" i="5"/>
  <c r="C20" i="13" s="1"/>
  <c r="C58" i="13" s="1"/>
  <c r="C25" i="5"/>
  <c r="C19" i="13" s="1"/>
  <c r="C36" i="5"/>
  <c r="C41" i="5"/>
  <c r="C57" i="5"/>
  <c r="C36" i="13" s="1"/>
  <c r="C61" i="5"/>
  <c r="C65" i="5"/>
  <c r="C69" i="5"/>
  <c r="C78" i="5"/>
  <c r="C39" i="13" s="1"/>
  <c r="C55" i="13" s="1"/>
  <c r="C83" i="5"/>
  <c r="C87" i="5"/>
  <c r="C99" i="5"/>
  <c r="B1" i="4"/>
  <c r="D19" i="4"/>
  <c r="D22" i="4" s="1"/>
  <c r="D17" i="12" s="1"/>
  <c r="E19" i="4"/>
  <c r="E22" i="4" s="1"/>
  <c r="E17" i="12" s="1"/>
  <c r="F19" i="4"/>
  <c r="F22" i="4" s="1"/>
  <c r="F17" i="12" s="1"/>
  <c r="G19" i="4"/>
  <c r="G22" i="4" s="1"/>
  <c r="G17" i="12" s="1"/>
  <c r="H19" i="4"/>
  <c r="H22" i="4" s="1"/>
  <c r="H17" i="12" s="1"/>
  <c r="I19" i="4"/>
  <c r="I22" i="4" s="1"/>
  <c r="I17" i="12" s="1"/>
  <c r="D7" i="4"/>
  <c r="D11" i="4" s="1"/>
  <c r="E7" i="4"/>
  <c r="E11" i="4" s="1"/>
  <c r="F7" i="4"/>
  <c r="F11" i="4" s="1"/>
  <c r="G7" i="4"/>
  <c r="G11" i="4" s="1"/>
  <c r="H7" i="4"/>
  <c r="H11" i="4" s="1"/>
  <c r="I7" i="4"/>
  <c r="I11" i="4" s="1"/>
  <c r="C7" i="4"/>
  <c r="C11" i="4" s="1"/>
  <c r="C6" i="12" s="1"/>
  <c r="C14" i="14" s="1"/>
  <c r="C19" i="4"/>
  <c r="C22" i="4" s="1"/>
  <c r="C17" i="12" s="1"/>
  <c r="B1" i="3"/>
  <c r="D199" i="3"/>
  <c r="E199" i="3"/>
  <c r="F199" i="3"/>
  <c r="G199" i="3"/>
  <c r="H199" i="3"/>
  <c r="I199" i="3"/>
  <c r="D167" i="3"/>
  <c r="D23" i="12" s="1"/>
  <c r="E167" i="3"/>
  <c r="E23" i="12" s="1"/>
  <c r="F167" i="3"/>
  <c r="F23" i="12" s="1"/>
  <c r="G167" i="3"/>
  <c r="G23" i="12" s="1"/>
  <c r="H167" i="3"/>
  <c r="H23" i="12" s="1"/>
  <c r="I167" i="3"/>
  <c r="I23" i="12" s="1"/>
  <c r="D153" i="3"/>
  <c r="D20" i="12" s="1"/>
  <c r="E153" i="3"/>
  <c r="E20" i="12" s="1"/>
  <c r="F153" i="3"/>
  <c r="F20" i="12" s="1"/>
  <c r="G153" i="3"/>
  <c r="G20" i="12" s="1"/>
  <c r="H153" i="3"/>
  <c r="H20" i="12" s="1"/>
  <c r="I153" i="3"/>
  <c r="I20" i="12" s="1"/>
  <c r="D140" i="3"/>
  <c r="D18" i="12" s="1"/>
  <c r="E140" i="3"/>
  <c r="E18" i="12" s="1"/>
  <c r="F140" i="3"/>
  <c r="F18" i="12" s="1"/>
  <c r="G140" i="3"/>
  <c r="G18" i="12" s="1"/>
  <c r="H140" i="3"/>
  <c r="H18" i="12" s="1"/>
  <c r="I140" i="3"/>
  <c r="I18" i="12" s="1"/>
  <c r="D124" i="3"/>
  <c r="D13" i="12" s="1"/>
  <c r="E124" i="3"/>
  <c r="E13" i="12" s="1"/>
  <c r="F124" i="3"/>
  <c r="F13" i="12" s="1"/>
  <c r="G124" i="3"/>
  <c r="G13" i="12" s="1"/>
  <c r="H124" i="3"/>
  <c r="H13" i="12" s="1"/>
  <c r="I124" i="3"/>
  <c r="I13" i="12" s="1"/>
  <c r="D115" i="3"/>
  <c r="D12" i="12" s="1"/>
  <c r="E115" i="3"/>
  <c r="E12" i="12" s="1"/>
  <c r="F115" i="3"/>
  <c r="F12" i="12" s="1"/>
  <c r="G115" i="3"/>
  <c r="G12" i="12" s="1"/>
  <c r="H115" i="3"/>
  <c r="H12" i="12" s="1"/>
  <c r="I115" i="3"/>
  <c r="I12" i="12" s="1"/>
  <c r="D89" i="3"/>
  <c r="E89" i="3"/>
  <c r="F89" i="3"/>
  <c r="G89" i="3"/>
  <c r="H89" i="3"/>
  <c r="I89" i="3"/>
  <c r="D79" i="3"/>
  <c r="E79" i="3"/>
  <c r="F79" i="3"/>
  <c r="G79" i="3"/>
  <c r="H79" i="3"/>
  <c r="I79" i="3"/>
  <c r="D67" i="3"/>
  <c r="E67" i="3"/>
  <c r="F67" i="3"/>
  <c r="G67" i="3"/>
  <c r="H67" i="3"/>
  <c r="I67" i="3"/>
  <c r="D63" i="3"/>
  <c r="E63" i="3"/>
  <c r="F63" i="3"/>
  <c r="G63" i="3"/>
  <c r="H63" i="3"/>
  <c r="I63" i="3"/>
  <c r="D59" i="3"/>
  <c r="D10" i="12" s="1"/>
  <c r="E59" i="3"/>
  <c r="E10" i="12" s="1"/>
  <c r="F59" i="3"/>
  <c r="F10" i="12" s="1"/>
  <c r="G59" i="3"/>
  <c r="G10" i="12" s="1"/>
  <c r="H59" i="3"/>
  <c r="H10" i="12" s="1"/>
  <c r="I59" i="3"/>
  <c r="I10" i="12" s="1"/>
  <c r="D41" i="3"/>
  <c r="D51" i="3" s="1"/>
  <c r="E41" i="3"/>
  <c r="E51" i="3" s="1"/>
  <c r="F41" i="3"/>
  <c r="F51" i="3" s="1"/>
  <c r="G41" i="3"/>
  <c r="G51" i="3" s="1"/>
  <c r="H41" i="3"/>
  <c r="H51" i="3" s="1"/>
  <c r="I41" i="3"/>
  <c r="I51" i="3" s="1"/>
  <c r="D36" i="3"/>
  <c r="E36" i="3"/>
  <c r="F36" i="3"/>
  <c r="G36" i="3"/>
  <c r="H36" i="3"/>
  <c r="I36" i="3"/>
  <c r="D30" i="3"/>
  <c r="E30" i="3"/>
  <c r="F30" i="3"/>
  <c r="G30" i="3"/>
  <c r="H30" i="3"/>
  <c r="I30" i="3"/>
  <c r="D20" i="3"/>
  <c r="E20" i="3"/>
  <c r="F20" i="3"/>
  <c r="G20" i="3"/>
  <c r="H20" i="3"/>
  <c r="I20" i="3"/>
  <c r="C20" i="3"/>
  <c r="C30" i="3"/>
  <c r="C36" i="3"/>
  <c r="C41" i="3"/>
  <c r="C59" i="3"/>
  <c r="C10" i="12" s="1"/>
  <c r="C63" i="3"/>
  <c r="C67" i="3"/>
  <c r="C79" i="3"/>
  <c r="C89" i="3"/>
  <c r="C115" i="3"/>
  <c r="C12" i="12" s="1"/>
  <c r="C124" i="3"/>
  <c r="C13" i="12" s="1"/>
  <c r="C140" i="3"/>
  <c r="C18" i="12" s="1"/>
  <c r="C153" i="3"/>
  <c r="C20" i="12" s="1"/>
  <c r="C167" i="3"/>
  <c r="C23" i="12" s="1"/>
  <c r="C199" i="3"/>
  <c r="B1" i="2"/>
  <c r="D85" i="2"/>
  <c r="E85" i="2"/>
  <c r="F85" i="2"/>
  <c r="G85" i="2"/>
  <c r="H85" i="2"/>
  <c r="I85" i="2"/>
  <c r="D62" i="2"/>
  <c r="E62" i="2"/>
  <c r="F62" i="2"/>
  <c r="G62" i="2"/>
  <c r="H62" i="2"/>
  <c r="I62" i="2"/>
  <c r="D41" i="2"/>
  <c r="D46" i="2" s="1"/>
  <c r="D87" i="2" s="1"/>
  <c r="D93" i="2" s="1"/>
  <c r="D38" i="2"/>
  <c r="E38" i="2"/>
  <c r="F38" i="2"/>
  <c r="G38" i="2"/>
  <c r="H38" i="2"/>
  <c r="I38" i="2"/>
  <c r="D26" i="2"/>
  <c r="E26" i="2"/>
  <c r="E41" i="2" s="1"/>
  <c r="E46" i="2" s="1"/>
  <c r="E87" i="2" s="1"/>
  <c r="E93" i="2" s="1"/>
  <c r="F26" i="2"/>
  <c r="F41" i="2" s="1"/>
  <c r="F46" i="2" s="1"/>
  <c r="F87" i="2" s="1"/>
  <c r="F93" i="2" s="1"/>
  <c r="G26" i="2"/>
  <c r="G41" i="2" s="1"/>
  <c r="G46" i="2" s="1"/>
  <c r="G87" i="2" s="1"/>
  <c r="G93" i="2" s="1"/>
  <c r="H26" i="2"/>
  <c r="H41" i="2" s="1"/>
  <c r="H46" i="2" s="1"/>
  <c r="H87" i="2" s="1"/>
  <c r="H93" i="2" s="1"/>
  <c r="I26" i="2"/>
  <c r="I41" i="2" s="1"/>
  <c r="I46" i="2" s="1"/>
  <c r="I87" i="2" s="1"/>
  <c r="I93" i="2" s="1"/>
  <c r="C26" i="2"/>
  <c r="C38" i="2"/>
  <c r="C41" i="2"/>
  <c r="C62" i="2"/>
  <c r="C85" i="2"/>
  <c r="L24" i="12" l="1"/>
  <c r="L34" i="12"/>
  <c r="J32" i="12"/>
  <c r="J33" i="12"/>
  <c r="J34" i="12"/>
  <c r="E29" i="11"/>
  <c r="D39" i="11"/>
  <c r="C14" i="11"/>
  <c r="C20" i="11" s="1"/>
  <c r="J35" i="12"/>
  <c r="J42" i="13"/>
  <c r="G10" i="13"/>
  <c r="J23" i="13"/>
  <c r="J25" i="13" s="1"/>
  <c r="F10" i="13"/>
  <c r="F18" i="14" s="1"/>
  <c r="F23" i="14" s="1"/>
  <c r="E10" i="13"/>
  <c r="E18" i="14" s="1"/>
  <c r="E23" i="14" s="1"/>
  <c r="I10" i="13"/>
  <c r="I18" i="14" s="1"/>
  <c r="H10" i="13"/>
  <c r="H18" i="14" s="1"/>
  <c r="H12" i="14" s="1"/>
  <c r="D10" i="13"/>
  <c r="D18" i="14" s="1"/>
  <c r="D23" i="14" s="1"/>
  <c r="E35" i="7"/>
  <c r="E36" i="7" s="1"/>
  <c r="I47" i="7"/>
  <c r="I34" i="13" s="1"/>
  <c r="C47" i="7"/>
  <c r="C34" i="13" s="1"/>
  <c r="E47" i="7"/>
  <c r="E34" i="13" s="1"/>
  <c r="G47" i="7"/>
  <c r="G34" i="13" s="1"/>
  <c r="H47" i="7"/>
  <c r="H34" i="13" s="1"/>
  <c r="D47" i="7"/>
  <c r="D34" i="13" s="1"/>
  <c r="F47" i="7"/>
  <c r="F34" i="13" s="1"/>
  <c r="D35" i="7"/>
  <c r="D33" i="13" s="1"/>
  <c r="F35" i="7"/>
  <c r="F36" i="7" s="1"/>
  <c r="I35" i="7"/>
  <c r="I33" i="13" s="1"/>
  <c r="G35" i="7"/>
  <c r="G33" i="13" s="1"/>
  <c r="H35" i="7"/>
  <c r="H33" i="13" s="1"/>
  <c r="E33" i="13"/>
  <c r="F30" i="13"/>
  <c r="E30" i="13"/>
  <c r="G30" i="13"/>
  <c r="I30" i="13"/>
  <c r="H30" i="13"/>
  <c r="D30" i="13"/>
  <c r="I71" i="5"/>
  <c r="I37" i="13" s="1"/>
  <c r="I95" i="5"/>
  <c r="I40" i="13" s="1"/>
  <c r="F95" i="5"/>
  <c r="F40" i="13" s="1"/>
  <c r="I23" i="13"/>
  <c r="I25" i="13" s="1"/>
  <c r="D95" i="5"/>
  <c r="D40" i="13" s="1"/>
  <c r="G19" i="14"/>
  <c r="G8" i="14" s="1"/>
  <c r="H71" i="5"/>
  <c r="H37" i="13" s="1"/>
  <c r="E95" i="5"/>
  <c r="E40" i="13" s="1"/>
  <c r="D71" i="5"/>
  <c r="D37" i="13" s="1"/>
  <c r="H19" i="14"/>
  <c r="H8" i="14" s="1"/>
  <c r="I28" i="5"/>
  <c r="I35" i="13" s="1"/>
  <c r="H28" i="5"/>
  <c r="H35" i="13" s="1"/>
  <c r="F71" i="5"/>
  <c r="F37" i="13" s="1"/>
  <c r="H95" i="5"/>
  <c r="H40" i="13" s="1"/>
  <c r="F19" i="14"/>
  <c r="F8" i="14" s="1"/>
  <c r="E71" i="5"/>
  <c r="E37" i="13" s="1"/>
  <c r="G23" i="13"/>
  <c r="G95" i="5"/>
  <c r="G40" i="13" s="1"/>
  <c r="E19" i="14"/>
  <c r="E8" i="14" s="1"/>
  <c r="C28" i="5"/>
  <c r="C35" i="13" s="1"/>
  <c r="D19" i="14"/>
  <c r="G71" i="5"/>
  <c r="G37" i="13" s="1"/>
  <c r="I19" i="14"/>
  <c r="I8" i="14" s="1"/>
  <c r="F106" i="3"/>
  <c r="F11" i="12" s="1"/>
  <c r="I74" i="3"/>
  <c r="I53" i="3" s="1"/>
  <c r="G74" i="3"/>
  <c r="G53" i="3" s="1"/>
  <c r="G7" i="12" s="1"/>
  <c r="H74" i="3"/>
  <c r="H53" i="3" s="1"/>
  <c r="I106" i="3"/>
  <c r="I11" i="12" s="1"/>
  <c r="E106" i="3"/>
  <c r="E11" i="12" s="1"/>
  <c r="E74" i="3"/>
  <c r="E53" i="3" s="1"/>
  <c r="D74" i="3"/>
  <c r="D53" i="3" s="1"/>
  <c r="D106" i="3"/>
  <c r="D11" i="12" s="1"/>
  <c r="F74" i="3"/>
  <c r="F53" i="3" s="1"/>
  <c r="H106" i="3"/>
  <c r="H11" i="12" s="1"/>
  <c r="G106" i="3"/>
  <c r="G11" i="12" s="1"/>
  <c r="C74" i="3"/>
  <c r="I6" i="12"/>
  <c r="D6" i="12"/>
  <c r="F6" i="12"/>
  <c r="F55" i="13" s="1"/>
  <c r="E6" i="12"/>
  <c r="H6" i="12"/>
  <c r="H14" i="14" s="1"/>
  <c r="G6" i="12"/>
  <c r="G14" i="14" s="1"/>
  <c r="H14" i="11"/>
  <c r="H20" i="11" s="1"/>
  <c r="H40" i="11" s="1"/>
  <c r="F29" i="11"/>
  <c r="F14" i="11"/>
  <c r="F20" i="11" s="1"/>
  <c r="F40" i="11" s="1"/>
  <c r="D29" i="11"/>
  <c r="D40" i="11" s="1"/>
  <c r="H29" i="11"/>
  <c r="H39" i="11"/>
  <c r="G14" i="11"/>
  <c r="G20" i="11" s="1"/>
  <c r="G42" i="11" s="1"/>
  <c r="G21" i="14" s="1"/>
  <c r="E14" i="11"/>
  <c r="E20" i="11" s="1"/>
  <c r="E40" i="11" s="1"/>
  <c r="I29" i="11"/>
  <c r="G29" i="11"/>
  <c r="G39" i="11"/>
  <c r="G40" i="11" s="1"/>
  <c r="D14" i="11"/>
  <c r="D20" i="11" s="1"/>
  <c r="F39" i="11"/>
  <c r="E39" i="11"/>
  <c r="D42" i="11"/>
  <c r="D21" i="14" s="1"/>
  <c r="I14" i="11"/>
  <c r="C39" i="11"/>
  <c r="C59" i="13"/>
  <c r="I49" i="11"/>
  <c r="G18" i="14"/>
  <c r="G23" i="14" s="1"/>
  <c r="F23" i="13"/>
  <c r="F25" i="13" s="1"/>
  <c r="C23" i="13"/>
  <c r="D23" i="13"/>
  <c r="C23" i="14"/>
  <c r="E23" i="13"/>
  <c r="E25" i="13" s="1"/>
  <c r="H49" i="11"/>
  <c r="H23" i="13"/>
  <c r="C24" i="14"/>
  <c r="D7" i="14"/>
  <c r="G47" i="11"/>
  <c r="G49" i="11" s="1"/>
  <c r="F49" i="11"/>
  <c r="E49" i="11"/>
  <c r="C16" i="13"/>
  <c r="C30" i="13"/>
  <c r="C54" i="13"/>
  <c r="C10" i="13"/>
  <c r="C18" i="14" s="1"/>
  <c r="C12" i="14" s="1"/>
  <c r="C57" i="13"/>
  <c r="C29" i="11"/>
  <c r="C51" i="10"/>
  <c r="C94" i="9"/>
  <c r="C48" i="9"/>
  <c r="C27" i="8"/>
  <c r="C53" i="8"/>
  <c r="C64" i="7"/>
  <c r="C33" i="7"/>
  <c r="C35" i="7" s="1"/>
  <c r="C33" i="13" s="1"/>
  <c r="F28" i="5"/>
  <c r="F35" i="13" s="1"/>
  <c r="E28" i="5"/>
  <c r="E35" i="13" s="1"/>
  <c r="D28" i="5"/>
  <c r="D35" i="13" s="1"/>
  <c r="G28" i="5"/>
  <c r="G35" i="13" s="1"/>
  <c r="C95" i="5"/>
  <c r="C40" i="13" s="1"/>
  <c r="C56" i="13" s="1"/>
  <c r="C71" i="5"/>
  <c r="C37" i="13" s="1"/>
  <c r="C53" i="13" s="1"/>
  <c r="C106" i="3"/>
  <c r="C11" i="12" s="1"/>
  <c r="C51" i="3"/>
  <c r="C46" i="2"/>
  <c r="L35" i="12" l="1"/>
  <c r="L27" i="12"/>
  <c r="J46" i="13"/>
  <c r="H42" i="11"/>
  <c r="H21" i="14" s="1"/>
  <c r="E42" i="11"/>
  <c r="E21" i="14" s="1"/>
  <c r="I57" i="13"/>
  <c r="J38" i="12"/>
  <c r="I23" i="14"/>
  <c r="I12" i="14"/>
  <c r="D25" i="13"/>
  <c r="H25" i="13"/>
  <c r="G25" i="13"/>
  <c r="F12" i="14"/>
  <c r="H36" i="7"/>
  <c r="D36" i="7"/>
  <c r="G36" i="7"/>
  <c r="I36" i="7"/>
  <c r="F33" i="13"/>
  <c r="D41" i="13"/>
  <c r="D42" i="13" s="1"/>
  <c r="D46" i="13" s="1"/>
  <c r="E41" i="13"/>
  <c r="E42" i="13" s="1"/>
  <c r="E46" i="13" s="1"/>
  <c r="F41" i="13"/>
  <c r="D56" i="13"/>
  <c r="I41" i="13"/>
  <c r="I42" i="13" s="1"/>
  <c r="I46" i="13" s="1"/>
  <c r="H41" i="13"/>
  <c r="H42" i="13" s="1"/>
  <c r="H46" i="13" s="1"/>
  <c r="G41" i="13"/>
  <c r="G42" i="13" s="1"/>
  <c r="G46" i="13" s="1"/>
  <c r="H7" i="12"/>
  <c r="H8" i="12" s="1"/>
  <c r="H14" i="12" s="1"/>
  <c r="H16" i="12" s="1"/>
  <c r="H19" i="12" s="1"/>
  <c r="H21" i="12" s="1"/>
  <c r="H128" i="3"/>
  <c r="H130" i="3" s="1"/>
  <c r="H133" i="3" s="1"/>
  <c r="H142" i="3" s="1"/>
  <c r="H144" i="3" s="1"/>
  <c r="H155" i="3" s="1"/>
  <c r="H169" i="3" s="1"/>
  <c r="H176" i="3" s="1"/>
  <c r="D7" i="12"/>
  <c r="D8" i="12" s="1"/>
  <c r="D128" i="3"/>
  <c r="D130" i="3" s="1"/>
  <c r="D133" i="3" s="1"/>
  <c r="D142" i="3" s="1"/>
  <c r="D144" i="3" s="1"/>
  <c r="D155" i="3" s="1"/>
  <c r="D169" i="3" s="1"/>
  <c r="D176" i="3" s="1"/>
  <c r="G128" i="3"/>
  <c r="G130" i="3" s="1"/>
  <c r="G133" i="3" s="1"/>
  <c r="G142" i="3" s="1"/>
  <c r="G144" i="3" s="1"/>
  <c r="G155" i="3" s="1"/>
  <c r="G169" i="3" s="1"/>
  <c r="G176" i="3" s="1"/>
  <c r="D53" i="13"/>
  <c r="E7" i="12"/>
  <c r="E8" i="12" s="1"/>
  <c r="E128" i="3"/>
  <c r="E130" i="3" s="1"/>
  <c r="E133" i="3" s="1"/>
  <c r="E142" i="3" s="1"/>
  <c r="E144" i="3" s="1"/>
  <c r="E155" i="3" s="1"/>
  <c r="E169" i="3" s="1"/>
  <c r="E176" i="3" s="1"/>
  <c r="I7" i="12"/>
  <c r="I8" i="12" s="1"/>
  <c r="I32" i="12" s="1"/>
  <c r="I128" i="3"/>
  <c r="I130" i="3" s="1"/>
  <c r="I133" i="3" s="1"/>
  <c r="I142" i="3" s="1"/>
  <c r="I144" i="3" s="1"/>
  <c r="I155" i="3" s="1"/>
  <c r="I169" i="3" s="1"/>
  <c r="I176" i="3" s="1"/>
  <c r="F7" i="12"/>
  <c r="F8" i="12" s="1"/>
  <c r="F32" i="12" s="1"/>
  <c r="F128" i="3"/>
  <c r="F130" i="3" s="1"/>
  <c r="F133" i="3" s="1"/>
  <c r="F142" i="3" s="1"/>
  <c r="F144" i="3" s="1"/>
  <c r="F155" i="3" s="1"/>
  <c r="F169" i="3" s="1"/>
  <c r="F176" i="3" s="1"/>
  <c r="F58" i="13"/>
  <c r="F14" i="14"/>
  <c r="G56" i="13"/>
  <c r="G58" i="13"/>
  <c r="F53" i="13"/>
  <c r="F38" i="12"/>
  <c r="F57" i="13"/>
  <c r="E56" i="13"/>
  <c r="I59" i="13"/>
  <c r="F54" i="13"/>
  <c r="G53" i="13"/>
  <c r="H53" i="13"/>
  <c r="G57" i="13"/>
  <c r="F59" i="13"/>
  <c r="G54" i="13"/>
  <c r="G59" i="13"/>
  <c r="G8" i="12"/>
  <c r="G32" i="12" s="1"/>
  <c r="G55" i="13"/>
  <c r="H58" i="13"/>
  <c r="I38" i="12"/>
  <c r="I58" i="13"/>
  <c r="F56" i="13"/>
  <c r="H54" i="13"/>
  <c r="I54" i="13"/>
  <c r="H38" i="12"/>
  <c r="I56" i="13"/>
  <c r="I53" i="13"/>
  <c r="H57" i="13"/>
  <c r="H59" i="13"/>
  <c r="I14" i="14"/>
  <c r="L14" i="14" s="1"/>
  <c r="I55" i="13"/>
  <c r="E38" i="12"/>
  <c r="E14" i="14"/>
  <c r="E54" i="13"/>
  <c r="H56" i="13"/>
  <c r="E59" i="13"/>
  <c r="G38" i="12"/>
  <c r="E58" i="13"/>
  <c r="E53" i="13"/>
  <c r="E55" i="13"/>
  <c r="H55" i="13"/>
  <c r="E57" i="13"/>
  <c r="D14" i="14"/>
  <c r="D57" i="13"/>
  <c r="D55" i="13"/>
  <c r="D38" i="12"/>
  <c r="D59" i="13"/>
  <c r="G12" i="14"/>
  <c r="G51" i="11"/>
  <c r="F42" i="11"/>
  <c r="F21" i="14" s="1"/>
  <c r="E51" i="11"/>
  <c r="F51" i="11"/>
  <c r="I20" i="11"/>
  <c r="H51" i="11"/>
  <c r="C60" i="13"/>
  <c r="C26" i="14" s="1"/>
  <c r="H23" i="14"/>
  <c r="E12" i="14"/>
  <c r="D12" i="14"/>
  <c r="D8" i="14"/>
  <c r="C25" i="13"/>
  <c r="C40" i="11"/>
  <c r="C42" i="11"/>
  <c r="C53" i="10"/>
  <c r="C76" i="9"/>
  <c r="C117" i="9"/>
  <c r="C124" i="9"/>
  <c r="C36" i="7"/>
  <c r="C69" i="7"/>
  <c r="C38" i="13" s="1"/>
  <c r="C48" i="11" s="1"/>
  <c r="D47" i="11" s="1"/>
  <c r="D49" i="11" s="1"/>
  <c r="D51" i="11" s="1"/>
  <c r="C53" i="3"/>
  <c r="C7" i="12" s="1"/>
  <c r="C8" i="12" s="1"/>
  <c r="C14" i="12" s="1"/>
  <c r="C15" i="14" s="1"/>
  <c r="C87" i="2"/>
  <c r="F42" i="13" l="1"/>
  <c r="F46" i="13" s="1"/>
  <c r="C49" i="11"/>
  <c r="C51" i="11" s="1"/>
  <c r="C41" i="13"/>
  <c r="C42" i="13" s="1"/>
  <c r="C46" i="13" s="1"/>
  <c r="C19" i="14"/>
  <c r="C8" i="14" s="1"/>
  <c r="C10" i="14" s="1"/>
  <c r="C33" i="12"/>
  <c r="C32" i="12"/>
  <c r="C16" i="12"/>
  <c r="C19" i="12" s="1"/>
  <c r="E14" i="12"/>
  <c r="E32" i="12"/>
  <c r="G14" i="12"/>
  <c r="G15" i="14" s="1"/>
  <c r="G10" i="14" s="1"/>
  <c r="F14" i="12"/>
  <c r="F33" i="12" s="1"/>
  <c r="G60" i="13"/>
  <c r="G26" i="14" s="1"/>
  <c r="F60" i="13"/>
  <c r="F26" i="14" s="1"/>
  <c r="I14" i="12"/>
  <c r="I60" i="13"/>
  <c r="I26" i="14" s="1"/>
  <c r="H60" i="13"/>
  <c r="H26" i="14" s="1"/>
  <c r="D60" i="13"/>
  <c r="D26" i="14" s="1"/>
  <c r="H32" i="12"/>
  <c r="H33" i="12"/>
  <c r="H15" i="14"/>
  <c r="H10" i="14" s="1"/>
  <c r="D32" i="12"/>
  <c r="D14" i="12"/>
  <c r="H49" i="13"/>
  <c r="H28" i="14" s="1"/>
  <c r="E60" i="13"/>
  <c r="E26" i="14" s="1"/>
  <c r="I40" i="11"/>
  <c r="I42" i="11"/>
  <c r="C21" i="14"/>
  <c r="H24" i="12"/>
  <c r="H34" i="12"/>
  <c r="C126" i="9"/>
  <c r="C128" i="3"/>
  <c r="C93" i="2"/>
  <c r="I39" i="12" l="1"/>
  <c r="J39" i="12"/>
  <c r="F16" i="12"/>
  <c r="F19" i="12" s="1"/>
  <c r="F21" i="12" s="1"/>
  <c r="H39" i="12"/>
  <c r="G33" i="12"/>
  <c r="E15" i="14"/>
  <c r="E10" i="14" s="1"/>
  <c r="E16" i="12"/>
  <c r="E33" i="12"/>
  <c r="I16" i="12"/>
  <c r="I49" i="13" s="1"/>
  <c r="I28" i="14" s="1"/>
  <c r="F15" i="14"/>
  <c r="F10" i="14" s="1"/>
  <c r="G39" i="12"/>
  <c r="G16" i="12"/>
  <c r="F39" i="12"/>
  <c r="I33" i="12"/>
  <c r="I15" i="14"/>
  <c r="L15" i="14" s="1"/>
  <c r="D15" i="14"/>
  <c r="D10" i="14" s="1"/>
  <c r="E39" i="12"/>
  <c r="D33" i="12"/>
  <c r="D16" i="12"/>
  <c r="D39" i="12"/>
  <c r="I51" i="11"/>
  <c r="I21" i="14"/>
  <c r="H27" i="12"/>
  <c r="H35" i="12"/>
  <c r="C21" i="12"/>
  <c r="C130" i="3"/>
  <c r="F49" i="13" l="1"/>
  <c r="F28" i="14" s="1"/>
  <c r="I19" i="12"/>
  <c r="I21" i="12" s="1"/>
  <c r="J40" i="12" s="1"/>
  <c r="E19" i="12"/>
  <c r="E21" i="12" s="1"/>
  <c r="E49" i="13"/>
  <c r="E28" i="14" s="1"/>
  <c r="G19" i="12"/>
  <c r="G21" i="12" s="1"/>
  <c r="G49" i="13"/>
  <c r="G28" i="14" s="1"/>
  <c r="I10" i="14"/>
  <c r="D19" i="12"/>
  <c r="D21" i="12" s="1"/>
  <c r="D40" i="12" s="1"/>
  <c r="D49" i="13"/>
  <c r="D28" i="14" s="1"/>
  <c r="H16" i="14"/>
  <c r="F24" i="12"/>
  <c r="F34" i="12"/>
  <c r="C34" i="12"/>
  <c r="C24" i="12"/>
  <c r="C133" i="3"/>
  <c r="E34" i="12" l="1"/>
  <c r="E24" i="12"/>
  <c r="F40" i="12"/>
  <c r="H40" i="12"/>
  <c r="G34" i="12"/>
  <c r="G24" i="12"/>
  <c r="G40" i="12"/>
  <c r="D34" i="12"/>
  <c r="E40" i="12"/>
  <c r="D24" i="12"/>
  <c r="F27" i="12"/>
  <c r="F50" i="13" s="1"/>
  <c r="F29" i="14" s="1"/>
  <c r="F35" i="12"/>
  <c r="H24" i="14"/>
  <c r="H11" i="14"/>
  <c r="I24" i="12"/>
  <c r="I34" i="12"/>
  <c r="I40" i="12"/>
  <c r="H50" i="13"/>
  <c r="H29" i="14" s="1"/>
  <c r="C27" i="12"/>
  <c r="C35" i="12"/>
  <c r="C142" i="3"/>
  <c r="E27" i="12" l="1"/>
  <c r="E35" i="12"/>
  <c r="G27" i="12"/>
  <c r="G35" i="12"/>
  <c r="D27" i="12"/>
  <c r="D41" i="12" s="1"/>
  <c r="D35" i="12"/>
  <c r="C16" i="14"/>
  <c r="I27" i="12"/>
  <c r="J41" i="12" s="1"/>
  <c r="I35" i="12"/>
  <c r="F16" i="14"/>
  <c r="G41" i="12"/>
  <c r="C144" i="3"/>
  <c r="E16" i="14" l="1"/>
  <c r="E50" i="13"/>
  <c r="E29" i="14" s="1"/>
  <c r="F41" i="12"/>
  <c r="G16" i="14"/>
  <c r="H41" i="12"/>
  <c r="G50" i="13"/>
  <c r="G29" i="14" s="1"/>
  <c r="D16" i="14"/>
  <c r="E41" i="12"/>
  <c r="D50" i="13"/>
  <c r="D29" i="14" s="1"/>
  <c r="F11" i="14"/>
  <c r="F24" i="14"/>
  <c r="I16" i="14"/>
  <c r="L16" i="14" s="1"/>
  <c r="I41" i="12"/>
  <c r="I50" i="13"/>
  <c r="I29" i="14" s="1"/>
  <c r="C11" i="14"/>
  <c r="C155" i="3"/>
  <c r="E24" i="14" l="1"/>
  <c r="E11" i="14"/>
  <c r="G24" i="14"/>
  <c r="G11" i="14"/>
  <c r="D24" i="14"/>
  <c r="D11" i="14"/>
  <c r="I11" i="14"/>
  <c r="I24" i="14"/>
  <c r="C169" i="3"/>
  <c r="C17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Dhruv Broker</author>
  </authors>
  <commentList>
    <comment ref="J6" authorId="0" shapeId="0" xr:uid="{AB2EDCB8-E3A3-410F-B4A7-AA5A15AD06E2}">
      <text>
        <r>
          <rPr>
            <b/>
            <sz val="9"/>
            <color indexed="81"/>
            <rFont val="Tahoma"/>
            <family val="2"/>
          </rPr>
          <t>Share price as of Aug 14, 2025</t>
        </r>
      </text>
    </comment>
  </commentList>
</comments>
</file>

<file path=xl/sharedStrings.xml><?xml version="1.0" encoding="utf-8"?>
<sst xmlns="http://schemas.openxmlformats.org/spreadsheetml/2006/main" count="1000" uniqueCount="686">
  <si>
    <t>Knowledge Marine &amp; Engineering Works Ltd.</t>
  </si>
  <si>
    <t>Financials Databook</t>
  </si>
  <si>
    <t>Mar-18(A)</t>
  </si>
  <si>
    <t>Mar-19(A)</t>
  </si>
  <si>
    <t>Mar-20(A)</t>
  </si>
  <si>
    <t>Mar-21(A)</t>
  </si>
  <si>
    <t>Mar-22(A)</t>
  </si>
  <si>
    <t>Mar-23(A)</t>
  </si>
  <si>
    <t>Mar-24(A)</t>
  </si>
  <si>
    <t>Consolidated</t>
  </si>
  <si>
    <t>Depreciation</t>
  </si>
  <si>
    <t>Impairment</t>
  </si>
  <si>
    <t>Excess of cost over fair value of investments</t>
  </si>
  <si>
    <t>Tax refunded</t>
  </si>
  <si>
    <t>Bad debts irrecoverable written off</t>
  </si>
  <si>
    <t>Provision for doubtful debts &amp; advances</t>
  </si>
  <si>
    <t>Inventories</t>
  </si>
  <si>
    <t>Investments</t>
  </si>
  <si>
    <t>Interest received</t>
  </si>
  <si>
    <t>Loans &amp; advances given to subsidiaries / partnership firms etc.</t>
  </si>
  <si>
    <t>Advances for capital expenditure</t>
  </si>
  <si>
    <t>Inter corporate deposits</t>
  </si>
  <si>
    <t>Changes in working capital borrowings</t>
  </si>
  <si>
    <t>Loans (to) / from subsidiaries</t>
  </si>
  <si>
    <t>Income tax on dividend paid</t>
  </si>
  <si>
    <t>Expenses on issue of shares</t>
  </si>
  <si>
    <t>Translation adj. on reserves / op cash balances  frgn subsidiaries</t>
  </si>
  <si>
    <t>Rs mm</t>
  </si>
  <si>
    <t>Profit before tax</t>
  </si>
  <si>
    <t>Interest expeses</t>
  </si>
  <si>
    <t>Profit/loss on sale of fixed assets</t>
  </si>
  <si>
    <t>Profit/loss on sale of investments</t>
  </si>
  <si>
    <t>Dividend received</t>
  </si>
  <si>
    <t>Interest income</t>
  </si>
  <si>
    <t>Diminution in the value / write off of investments</t>
  </si>
  <si>
    <t>Transferred from revaluation reserve</t>
  </si>
  <si>
    <t>Effect of exchange rate change</t>
  </si>
  <si>
    <t>Net prior year adjustments</t>
  </si>
  <si>
    <t>Provision &amp; written off</t>
  </si>
  <si>
    <t>Tax paid</t>
  </si>
  <si>
    <t>Misc. expenses written off</t>
  </si>
  <si>
    <t>Other adjustments</t>
  </si>
  <si>
    <t>Adjustment</t>
  </si>
  <si>
    <t>Trade &amp; other receivables</t>
  </si>
  <si>
    <t>Loans &amp; advances</t>
  </si>
  <si>
    <t>Trade &amp; other payables</t>
  </si>
  <si>
    <t>Decrease / (increase) in lt loans &amp; advances</t>
  </si>
  <si>
    <t>(increase) / decrease in other non current assets</t>
  </si>
  <si>
    <t>Increase / (decrease) in other non current liabilities</t>
  </si>
  <si>
    <t>Increase / (decrease) in lt provisions</t>
  </si>
  <si>
    <t>Others</t>
  </si>
  <si>
    <t>Changes in working capital</t>
  </si>
  <si>
    <t>Cash flow after changes in working capital</t>
  </si>
  <si>
    <t>Interest paid</t>
  </si>
  <si>
    <t>Other direct expenses paid</t>
  </si>
  <si>
    <t>Extra &amp; other item</t>
  </si>
  <si>
    <t>Cash from operating activities</t>
  </si>
  <si>
    <t>Purchase of fixed assets</t>
  </si>
  <si>
    <t>Sale of fixed assets</t>
  </si>
  <si>
    <t>Purchase of  investment</t>
  </si>
  <si>
    <t>Sale of investments</t>
  </si>
  <si>
    <t>Investment in subsidiaries</t>
  </si>
  <si>
    <t>Dividend income</t>
  </si>
  <si>
    <t>Increase/ decrease in loans</t>
  </si>
  <si>
    <t>Other investment activities</t>
  </si>
  <si>
    <t>Cash flow from investing activities</t>
  </si>
  <si>
    <t>Increase / (decrease) in loan funds</t>
  </si>
  <si>
    <t>Proceeds from long term borrowings</t>
  </si>
  <si>
    <t>Repayment of long term borrowings</t>
  </si>
  <si>
    <t>Proceeds from debenture / bonds</t>
  </si>
  <si>
    <t>Repayment of debenture / bonds</t>
  </si>
  <si>
    <t>Short term loans</t>
  </si>
  <si>
    <t>Increase  / (decrease) in preference capital</t>
  </si>
  <si>
    <t>Proceeds from preference shares capital</t>
  </si>
  <si>
    <t>Redemption of preference shares capital</t>
  </si>
  <si>
    <t>Proceeds from shares warrants</t>
  </si>
  <si>
    <t>Proceeds from issue of equity share capital</t>
  </si>
  <si>
    <t>Buy back of equity shares capital</t>
  </si>
  <si>
    <t>Equity dividend paid</t>
  </si>
  <si>
    <t>Preference dividend</t>
  </si>
  <si>
    <t>Net inc/dec in cash / export credit facilities and other short term loans</t>
  </si>
  <si>
    <t>Other financial activities</t>
  </si>
  <si>
    <t>Cash from financing activities</t>
  </si>
  <si>
    <t>Net cash inflow / outflow</t>
  </si>
  <si>
    <t>Opening cash &amp; cash equivalents</t>
  </si>
  <si>
    <t>Cash &amp; cash equivalent on amalgamation / take over / merger</t>
  </si>
  <si>
    <t>Cash &amp; cash equivalent of subsidiaries under liquidations</t>
  </si>
  <si>
    <t>Effect of foreign exchange fluctuations</t>
  </si>
  <si>
    <t>Closing cash &amp; cash equivalent</t>
  </si>
  <si>
    <t>Cash Flow - Detailed</t>
  </si>
  <si>
    <t>Opening - work in progress</t>
  </si>
  <si>
    <t>Opening - finished goods</t>
  </si>
  <si>
    <t>Opening - shares, units and bonds</t>
  </si>
  <si>
    <t>Opening - food &amp; beverages</t>
  </si>
  <si>
    <t>Other opening balances</t>
  </si>
  <si>
    <t>Less: closing - work in progress</t>
  </si>
  <si>
    <t>Less: closing - finished goods</t>
  </si>
  <si>
    <t>Less: closing - shares, units and bonds</t>
  </si>
  <si>
    <t>Closing - food &amp; beverages</t>
  </si>
  <si>
    <t>Less: other closing balances</t>
  </si>
  <si>
    <t>Inter division transfer in transits</t>
  </si>
  <si>
    <t>Excise duty on stock adjustments</t>
  </si>
  <si>
    <t>Stock capitalised</t>
  </si>
  <si>
    <t>Increase/decrease in stock</t>
  </si>
  <si>
    <t>Opening raw materials</t>
  </si>
  <si>
    <t>Purchases raw materials</t>
  </si>
  <si>
    <t>Development rights</t>
  </si>
  <si>
    <t>Closing raw materials</t>
  </si>
  <si>
    <t>Other direct purchases / brought in cost</t>
  </si>
  <si>
    <t>Stock on amalgamation</t>
  </si>
  <si>
    <t>Raw material consumed capitalised</t>
  </si>
  <si>
    <t>Raw material consumed</t>
  </si>
  <si>
    <t>Electricity &amp; power</t>
  </si>
  <si>
    <t>Less: captive consumption of power</t>
  </si>
  <si>
    <t>Oil, fuel &amp; natural gas</t>
  </si>
  <si>
    <t>Less: captive consumption of fuel</t>
  </si>
  <si>
    <t>Power &amp; fuel cost</t>
  </si>
  <si>
    <t>Sub-contracted / outsourced services</t>
  </si>
  <si>
    <t>Port, light and canal dues</t>
  </si>
  <si>
    <t>Other repairs</t>
  </si>
  <si>
    <t>Repairs and maintenance</t>
  </si>
  <si>
    <t>Dry docking charges</t>
  </si>
  <si>
    <t>Agency fees</t>
  </si>
  <si>
    <t>Ship management fees paid</t>
  </si>
  <si>
    <t>Stores, spare parts and tools consumed</t>
  </si>
  <si>
    <t>Crew expenses</t>
  </si>
  <si>
    <t>Charter hire expenses</t>
  </si>
  <si>
    <t>Training expenses</t>
  </si>
  <si>
    <t>Hire charges</t>
  </si>
  <si>
    <t>Other operating and mfg expenses</t>
  </si>
  <si>
    <t>Manufacturing expenses capitalised</t>
  </si>
  <si>
    <t>Operating &amp; manufacturing expenses</t>
  </si>
  <si>
    <t>Cost of goods sold</t>
  </si>
  <si>
    <t>Salaries, wages &amp; bonus</t>
  </si>
  <si>
    <t>Workmen and staff welfare expenses</t>
  </si>
  <si>
    <t>Gratuity &amp; ex gratia</t>
  </si>
  <si>
    <t>Other employees cost</t>
  </si>
  <si>
    <t>Employee cost</t>
  </si>
  <si>
    <t>For own use</t>
  </si>
  <si>
    <t>For service delivery to clients</t>
  </si>
  <si>
    <t>Software purchase</t>
  </si>
  <si>
    <t>For subsidiaries</t>
  </si>
  <si>
    <t>For others</t>
  </si>
  <si>
    <t>Technical sub-contractors</t>
  </si>
  <si>
    <t>Software developments expenses</t>
  </si>
  <si>
    <t>Software license cost</t>
  </si>
  <si>
    <t>Other software development expenses</t>
  </si>
  <si>
    <t>Other operating expenses</t>
  </si>
  <si>
    <t>Cost of software developments capitalised</t>
  </si>
  <si>
    <t>Cost of software development</t>
  </si>
  <si>
    <t>Rent</t>
  </si>
  <si>
    <t>Rates &amp; taxes</t>
  </si>
  <si>
    <t>Rent, taxes and lighting</t>
  </si>
  <si>
    <t>Repairs &amp; maintenance - others</t>
  </si>
  <si>
    <t>Printing and stationery</t>
  </si>
  <si>
    <t>Professional and legal fees</t>
  </si>
  <si>
    <t>Audit work</t>
  </si>
  <si>
    <t>Taxation work</t>
  </si>
  <si>
    <t>Certification work</t>
  </si>
  <si>
    <t>Reimbursement of expenses</t>
  </si>
  <si>
    <t>Other audit exp</t>
  </si>
  <si>
    <t>Packing expenses</t>
  </si>
  <si>
    <t>Communication expenses</t>
  </si>
  <si>
    <t>Wealth tax</t>
  </si>
  <si>
    <t>Director's remuneration</t>
  </si>
  <si>
    <t>Other administration</t>
  </si>
  <si>
    <t>Stamping and registration</t>
  </si>
  <si>
    <t>Service charges</t>
  </si>
  <si>
    <t>Freight outwards</t>
  </si>
  <si>
    <t>Printing and stationery&lt;&gt;</t>
  </si>
  <si>
    <t>Depreciation (including lease equalisation) on leased assets</t>
  </si>
  <si>
    <t>Insurance</t>
  </si>
  <si>
    <t>Traveling and conveyance</t>
  </si>
  <si>
    <t>General and administration expenses</t>
  </si>
  <si>
    <t>Distribution expenses</t>
  </si>
  <si>
    <t>Advertisement &amp; sales promotion</t>
  </si>
  <si>
    <t>Sales commissions &amp; incentives</t>
  </si>
  <si>
    <t>Brokerages</t>
  </si>
  <si>
    <t>Discounts &amp; rebates</t>
  </si>
  <si>
    <t>Freight and forwarding</t>
  </si>
  <si>
    <t>Handling and clearing charges</t>
  </si>
  <si>
    <t>Selling and distribution expenses</t>
  </si>
  <si>
    <t>Bad debts/advances written off</t>
  </si>
  <si>
    <t>Provision for doubtful debts</t>
  </si>
  <si>
    <t>Loss on disposal of fixed assets (net)</t>
  </si>
  <si>
    <t>Loss on foreign exchange fluctuations</t>
  </si>
  <si>
    <t>Provisions &amp; write off</t>
  </si>
  <si>
    <t>Donations</t>
  </si>
  <si>
    <t>Other miscellaneous expenses</t>
  </si>
  <si>
    <t>Miscellaneous expenses</t>
  </si>
  <si>
    <t>Less: expenses capitalised</t>
  </si>
  <si>
    <t>Total expenditure</t>
  </si>
  <si>
    <t>Operating profit (excl oi)</t>
  </si>
  <si>
    <t>Operating profit</t>
  </si>
  <si>
    <t>Interest on debenture / bonds</t>
  </si>
  <si>
    <t>Interest on term loan</t>
  </si>
  <si>
    <t>Bank charges etc</t>
  </si>
  <si>
    <t>Other interest</t>
  </si>
  <si>
    <t>Interest capitalised</t>
  </si>
  <si>
    <t>Interest</t>
  </si>
  <si>
    <t>Pbdt</t>
  </si>
  <si>
    <t>Profit before taxation &amp; exceptional items</t>
  </si>
  <si>
    <t>Profit (loss) on sale of fixed assets</t>
  </si>
  <si>
    <t>Profit (loss) on sale of investments</t>
  </si>
  <si>
    <t>Restructuring cost / reversal of provisions</t>
  </si>
  <si>
    <t>Accidental loss / damages</t>
  </si>
  <si>
    <t>Inventory writt off</t>
  </si>
  <si>
    <t>Other exceptional expenses</t>
  </si>
  <si>
    <t>Other exceptional income</t>
  </si>
  <si>
    <t>Exceptional income / expenses</t>
  </si>
  <si>
    <t>Income tax</t>
  </si>
  <si>
    <t>Current income tax</t>
  </si>
  <si>
    <t>Deferred tax</t>
  </si>
  <si>
    <t>Fringe benefit tax</t>
  </si>
  <si>
    <t>Mat credit entitlement</t>
  </si>
  <si>
    <t>Other taxes</t>
  </si>
  <si>
    <t>Securities transaction tax</t>
  </si>
  <si>
    <t>Prior year tax</t>
  </si>
  <si>
    <t>Other tax</t>
  </si>
  <si>
    <t>Provision for tax</t>
  </si>
  <si>
    <t>Profit after tax</t>
  </si>
  <si>
    <t>Extra items</t>
  </si>
  <si>
    <t>Minority interest</t>
  </si>
  <si>
    <t>Share of associate</t>
  </si>
  <si>
    <t>Other consolidated items</t>
  </si>
  <si>
    <t>Consolidated net profit</t>
  </si>
  <si>
    <t>Adjustments to pat</t>
  </si>
  <si>
    <t>Profit balance b/f</t>
  </si>
  <si>
    <t>Transfer to statutory reserve</t>
  </si>
  <si>
    <t>Appropriation to investment allowance reserve</t>
  </si>
  <si>
    <t>Appropriation to investment fluctuation reserve</t>
  </si>
  <si>
    <t>Appropriation to debenture redemption reserve</t>
  </si>
  <si>
    <t>Appropriation to general reserve</t>
  </si>
  <si>
    <t>Appropriation to capital reserve</t>
  </si>
  <si>
    <t>Appropriation to revenue reserve</t>
  </si>
  <si>
    <t>Appropriation to other reserves</t>
  </si>
  <si>
    <t>Prior year dividend paid</t>
  </si>
  <si>
    <t>Interim dividend paid</t>
  </si>
  <si>
    <t>Transfer towards reserve for bad &amp; doubtful debts</t>
  </si>
  <si>
    <t>Transfer to special reserve created &amp; maintained</t>
  </si>
  <si>
    <t>Contingencies reserve</t>
  </si>
  <si>
    <t>Tariffs and dividends control reserve</t>
  </si>
  <si>
    <t>Proposed equity dividend</t>
  </si>
  <si>
    <t>Corporate dividend tax</t>
  </si>
  <si>
    <t>Capital redemption reserve</t>
  </si>
  <si>
    <t>Balance carried forward to balance sheet</t>
  </si>
  <si>
    <t>Appropriations</t>
  </si>
  <si>
    <t>Equity dividend %</t>
  </si>
  <si>
    <t>Earnings per share</t>
  </si>
  <si>
    <t>Adjusted eps</t>
  </si>
  <si>
    <t>Expenses</t>
  </si>
  <si>
    <t>Charter income</t>
  </si>
  <si>
    <t>Sales turnover</t>
  </si>
  <si>
    <t>Less: inter divisional transfers</t>
  </si>
  <si>
    <t>Less: sales returns</t>
  </si>
  <si>
    <t>Less: excise</t>
  </si>
  <si>
    <t>Net sales</t>
  </si>
  <si>
    <t>Foreign exchange gains</t>
  </si>
  <si>
    <t>Claims received</t>
  </si>
  <si>
    <t>Provision written back</t>
  </si>
  <si>
    <t>Discounts</t>
  </si>
  <si>
    <t>Sale of scrap - other income</t>
  </si>
  <si>
    <t>Interest on others</t>
  </si>
  <si>
    <t>Gain on forward contracts/forex</t>
  </si>
  <si>
    <t>Other income</t>
  </si>
  <si>
    <t>Revenue and other income</t>
  </si>
  <si>
    <t>Current liabilities</t>
  </si>
  <si>
    <t>For expenses</t>
  </si>
  <si>
    <t>For purchases</t>
  </si>
  <si>
    <t>For capital goods</t>
  </si>
  <si>
    <t>Sundry creditors</t>
  </si>
  <si>
    <t>Acceptances</t>
  </si>
  <si>
    <t>Due to subsidiaries- trade payables</t>
  </si>
  <si>
    <t>Trade payables</t>
  </si>
  <si>
    <t>Other liabilities</t>
  </si>
  <si>
    <t>Other deposits</t>
  </si>
  <si>
    <t>Statutory liability</t>
  </si>
  <si>
    <t>Other current liabilities</t>
  </si>
  <si>
    <t>    provision for gratuity</t>
  </si>
  <si>
    <t>Other provisions</t>
  </si>
  <si>
    <t>Short term provisions</t>
  </si>
  <si>
    <t>Current assets  loans &amp; advances</t>
  </si>
  <si>
    <t>Currents investments</t>
  </si>
  <si>
    <t>Government and other securities</t>
  </si>
  <si>
    <t>Treasury bills</t>
  </si>
  <si>
    <t>Mutual funds units</t>
  </si>
  <si>
    <t>Quoted equity shares</t>
  </si>
  <si>
    <t>Quoted preference shares</t>
  </si>
  <si>
    <t>Quoted debentures / bonds</t>
  </si>
  <si>
    <t>Other current quoted investments</t>
  </si>
  <si>
    <t>Quoted</t>
  </si>
  <si>
    <t>Unquoted equity shares</t>
  </si>
  <si>
    <t>Unquoted preference shares</t>
  </si>
  <si>
    <t>Unquoted debentures / bonds</t>
  </si>
  <si>
    <t>Other current unquoted investments</t>
  </si>
  <si>
    <t>Current inv_ provision in dimunition in value of investment</t>
  </si>
  <si>
    <t>Unquoted</t>
  </si>
  <si>
    <t>Current inv_ unquoted investments - book value</t>
  </si>
  <si>
    <t>Raw materials</t>
  </si>
  <si>
    <t>Work-in progress</t>
  </si>
  <si>
    <t>Finished goods</t>
  </si>
  <si>
    <t>Packing materials</t>
  </si>
  <si>
    <t>Shares, units, bonds in hand</t>
  </si>
  <si>
    <t>Stores  and spare</t>
  </si>
  <si>
    <t>Consumable tools</t>
  </si>
  <si>
    <t>Goods in transit</t>
  </si>
  <si>
    <t>Goods in trade</t>
  </si>
  <si>
    <t>Less: advance received wip</t>
  </si>
  <si>
    <t>Excise duty on finished goods</t>
  </si>
  <si>
    <t>Other inventory</t>
  </si>
  <si>
    <t>Considered good</t>
  </si>
  <si>
    <t>Considered doubtful</t>
  </si>
  <si>
    <t>Debtors more than six months</t>
  </si>
  <si>
    <t>Debtors others</t>
  </si>
  <si>
    <t>Less: provisions for doubtful debts</t>
  </si>
  <si>
    <t>Hire purchase receivables</t>
  </si>
  <si>
    <t>Less: provisions for doubtful receivables</t>
  </si>
  <si>
    <t>Sundry debtors</t>
  </si>
  <si>
    <t>Prepaid expenses</t>
  </si>
  <si>
    <t>Other_current_assets</t>
  </si>
  <si>
    <t>Accrued gain on forward contracts (net)</t>
  </si>
  <si>
    <t>Other current assets</t>
  </si>
  <si>
    <t>To employees</t>
  </si>
  <si>
    <t>For capital expenditures</t>
  </si>
  <si>
    <t>To others</t>
  </si>
  <si>
    <t>Advances recoverable in cash or in kind</t>
  </si>
  <si>
    <t>Advance income tax and tds</t>
  </si>
  <si>
    <t>Loans</t>
  </si>
  <si>
    <t>Balances with customs and excise authorities</t>
  </si>
  <si>
    <t>Sundry deposits</t>
  </si>
  <si>
    <t>Other loans &amp; advances</t>
  </si>
  <si>
    <t>Less: advances considered doubtful</t>
  </si>
  <si>
    <t>Short term loans and advances</t>
  </si>
  <si>
    <t>Amt due from firm (directors interested)</t>
  </si>
  <si>
    <t>Liabilities under guarantees</t>
  </si>
  <si>
    <t>Contingent liabilities</t>
  </si>
  <si>
    <t>Working capital</t>
  </si>
  <si>
    <t>Intangible assets under development</t>
  </si>
  <si>
    <t>Assets in transit</t>
  </si>
  <si>
    <t>Goodwill</t>
  </si>
  <si>
    <t>Plant&amp; machinery</t>
  </si>
  <si>
    <t>Furniture &amp; fixtures &amp; office appliances</t>
  </si>
  <si>
    <t>Vehicles</t>
  </si>
  <si>
    <t>Ships &amp; vessels</t>
  </si>
  <si>
    <t>Computer software</t>
  </si>
  <si>
    <t>Factory equipments</t>
  </si>
  <si>
    <t>Computer hardware</t>
  </si>
  <si>
    <t>Other fixed assets</t>
  </si>
  <si>
    <t>Other fixed assets revised</t>
  </si>
  <si>
    <t>Gross block</t>
  </si>
  <si>
    <t>Plant &amp; machinery</t>
  </si>
  <si>
    <t>Less: accumulated depreciation</t>
  </si>
  <si>
    <t>Less: impairment of assets</t>
  </si>
  <si>
    <t>Net block</t>
  </si>
  <si>
    <t>Lease adjustment a/c</t>
  </si>
  <si>
    <t>Capital work in progress</t>
  </si>
  <si>
    <t>Pre-operative expenses pending</t>
  </si>
  <si>
    <t>PPE</t>
  </si>
  <si>
    <t>Equity</t>
  </si>
  <si>
    <t>Preference shares</t>
  </si>
  <si>
    <t>Debentures / bonds / fixed deposits</t>
  </si>
  <si>
    <t>Subsidiary companies</t>
  </si>
  <si>
    <t>Joint venture &amp; associated companies</t>
  </si>
  <si>
    <t>Other long term quoted investments</t>
  </si>
  <si>
    <t>Other long term unquoted investments</t>
  </si>
  <si>
    <t>Less: prov for diminution in value of invest.</t>
  </si>
  <si>
    <t>Long term investment</t>
  </si>
  <si>
    <t>Non current investments</t>
  </si>
  <si>
    <t>Considered doubtfull</t>
  </si>
  <si>
    <t>Less: provision for doubtful receivable</t>
  </si>
  <si>
    <t>Long term trade receivable</t>
  </si>
  <si>
    <t>Balances with custom &amp; excise</t>
  </si>
  <si>
    <t>Lt loans &amp; adv. others</t>
  </si>
  <si>
    <t>Advances to vendors</t>
  </si>
  <si>
    <t>Other loans and advances :</t>
  </si>
  <si>
    <t>Less : provision for doubtful advances - long term loans &amp; advances</t>
  </si>
  <si>
    <t>Long term loans &amp; advances</t>
  </si>
  <si>
    <t>Claims and other receivables</t>
  </si>
  <si>
    <t>Fixed deposits with banks with maturity period more than  months</t>
  </si>
  <si>
    <t>Interest accrued</t>
  </si>
  <si>
    <t>Pre paid expenses</t>
  </si>
  <si>
    <t>Future &amp; options contract</t>
  </si>
  <si>
    <t>Non current inventories</t>
  </si>
  <si>
    <t>Non current portion of cash &amp; bank balances</t>
  </si>
  <si>
    <t>Other non current assets- other</t>
  </si>
  <si>
    <t>Other non current assets</t>
  </si>
  <si>
    <t>Cash in hand</t>
  </si>
  <si>
    <t>In currents a/c (by defaults)</t>
  </si>
  <si>
    <t>In fixed deposits a/c</t>
  </si>
  <si>
    <t>With scheduled banks</t>
  </si>
  <si>
    <t>With other bank</t>
  </si>
  <si>
    <t>Balances at bank</t>
  </si>
  <si>
    <t>Account with post office</t>
  </si>
  <si>
    <t>Remittances in transit</t>
  </si>
  <si>
    <t>Stamps, cheques, demand drafts in hand</t>
  </si>
  <si>
    <t>Cash and bank</t>
  </si>
  <si>
    <t>Preliminary expenses</t>
  </si>
  <si>
    <t>Research and development expenditure</t>
  </si>
  <si>
    <t>Expenses on issue of shares / debentures</t>
  </si>
  <si>
    <t>Discounts on issue of shares / debentures</t>
  </si>
  <si>
    <t>Deferred revenue expenditure</t>
  </si>
  <si>
    <t>Pre-operative expenses</t>
  </si>
  <si>
    <t>Compensation on voluntary retirement</t>
  </si>
  <si>
    <t>Interest paid out of capital contruction</t>
  </si>
  <si>
    <t>Cost of trial run production</t>
  </si>
  <si>
    <t>Miscellaneous expenses not written off</t>
  </si>
  <si>
    <t>Other assets</t>
  </si>
  <si>
    <t>Provisions for expenses</t>
  </si>
  <si>
    <t>Diminution in value of investment</t>
  </si>
  <si>
    <t>Doubtful advances</t>
  </si>
  <si>
    <t>Voluntary retirement scheme</t>
  </si>
  <si>
    <t>Carried forward loss</t>
  </si>
  <si>
    <t>Unabsorbed depreciation</t>
  </si>
  <si>
    <t>Accrued expenses deductible on payment</t>
  </si>
  <si>
    <t>Other deferred assets</t>
  </si>
  <si>
    <t>Deferred tax assets</t>
  </si>
  <si>
    <t>Miscellaneous expenditure</t>
  </si>
  <si>
    <t>Fixed assets</t>
  </si>
  <si>
    <t>Pre-operative expenses incl. in cwip</t>
  </si>
  <si>
    <t>Prepaid lease rentals</t>
  </si>
  <si>
    <t>Other deferred liabilities</t>
  </si>
  <si>
    <t>Deferred tax liability</t>
  </si>
  <si>
    <t>Deferred tax assets / liabilities</t>
  </si>
  <si>
    <t>Lease equalisation charges</t>
  </si>
  <si>
    <t>Sundry deposits- oltl</t>
  </si>
  <si>
    <t>Interest accrued but not due -oltl</t>
  </si>
  <si>
    <t>Govt grants</t>
  </si>
  <si>
    <t>Loans &amp; advances  to employees \directors</t>
  </si>
  <si>
    <t>Loans &amp; advances to other</t>
  </si>
  <si>
    <t>Loans &amp; advances to subsidiary</t>
  </si>
  <si>
    <t>Other lt trade deposits</t>
  </si>
  <si>
    <t>Other lt others</t>
  </si>
  <si>
    <t>Other long term liabilities</t>
  </si>
  <si>
    <t>Trade payables- lt</t>
  </si>
  <si>
    <t>Micro and small enterprises</t>
  </si>
  <si>
    <t>Lt payable others</t>
  </si>
  <si>
    <t>Long term trade payables</t>
  </si>
  <si>
    <t>Lt provision for gratuity</t>
  </si>
  <si>
    <t>Leave benefits</t>
  </si>
  <si>
    <t>Other employees benefits</t>
  </si>
  <si>
    <t>Contingency provisions</t>
  </si>
  <si>
    <t>Lt provision for tax</t>
  </si>
  <si>
    <t>Lt provision others</t>
  </si>
  <si>
    <t>Long term provisions</t>
  </si>
  <si>
    <t>Long-term borrowings</t>
  </si>
  <si>
    <t>Non convertible debentures</t>
  </si>
  <si>
    <t>Converible debentures &amp; bonds</t>
  </si>
  <si>
    <t>Packing credit - bank</t>
  </si>
  <si>
    <t>Cash credit - bank</t>
  </si>
  <si>
    <t>Overdrafts - bank</t>
  </si>
  <si>
    <t>Inter corporate &amp; security deposit</t>
  </si>
  <si>
    <t>Rupee loan</t>
  </si>
  <si>
    <t>Foreign currency loan</t>
  </si>
  <si>
    <t>Term loans - banks</t>
  </si>
  <si>
    <t>Term loans - institutions</t>
  </si>
  <si>
    <t>Working capital loans - bank</t>
  </si>
  <si>
    <t>Bridge loan</t>
  </si>
  <si>
    <t>Buyers credit - rupee loans</t>
  </si>
  <si>
    <t>Buyers credit - foreign loans</t>
  </si>
  <si>
    <t>Commercial borrowings</t>
  </si>
  <si>
    <t>Deferred credit / hire purchase</t>
  </si>
  <si>
    <t>Borrowings from govt. of india</t>
  </si>
  <si>
    <t>Sales tax loan - govt.</t>
  </si>
  <si>
    <t>Secured short term loans - instn</t>
  </si>
  <si>
    <t>Secured short term loans - banks</t>
  </si>
  <si>
    <t>Secured short term loans - others</t>
  </si>
  <si>
    <t>Short term loan</t>
  </si>
  <si>
    <t>Hire purchase / financial lease</t>
  </si>
  <si>
    <t>Vehicle loans</t>
  </si>
  <si>
    <t>Current maturity of debentures &amp; bonds</t>
  </si>
  <si>
    <t>Current maturity - others</t>
  </si>
  <si>
    <t>Other secured</t>
  </si>
  <si>
    <t>Amount payable within one year (secured)</t>
  </si>
  <si>
    <t>Secured loans</t>
  </si>
  <si>
    <t>Fixed deposits - public</t>
  </si>
  <si>
    <t>Loans and advances from subsidiaries</t>
  </si>
  <si>
    <t>Inter corporate deposits (unsecured)</t>
  </si>
  <si>
    <t>Foreign currency convertible notes</t>
  </si>
  <si>
    <t>Long term loan in foreign currency</t>
  </si>
  <si>
    <t>Loans - body corporate</t>
  </si>
  <si>
    <t>Security deposits</t>
  </si>
  <si>
    <t>Loans - banks</t>
  </si>
  <si>
    <t>Loans - govt.</t>
  </si>
  <si>
    <t>Loans - others</t>
  </si>
  <si>
    <t>Unsec. short term - banks</t>
  </si>
  <si>
    <t>Unsec. short term - others</t>
  </si>
  <si>
    <t>Unsec. short term - institutions</t>
  </si>
  <si>
    <t>Commercial paper</t>
  </si>
  <si>
    <t>Deferred tax loan</t>
  </si>
  <si>
    <t>Bills discounted</t>
  </si>
  <si>
    <t>Interest accrued and due</t>
  </si>
  <si>
    <t>Other loans &amp; advances (unsecured)</t>
  </si>
  <si>
    <t>Trade deposits</t>
  </si>
  <si>
    <t>Other unsecured loan</t>
  </si>
  <si>
    <t>Unsecured loans</t>
  </si>
  <si>
    <t>Amount payable within one year (unsecured)</t>
  </si>
  <si>
    <t>Long term borrowings</t>
  </si>
  <si>
    <t>Ruppes loan -sec bank</t>
  </si>
  <si>
    <t>Foreign currency loans -sec bank</t>
  </si>
  <si>
    <t>From bank - sec</t>
  </si>
  <si>
    <t>Ruppes loan- sec inst</t>
  </si>
  <si>
    <t>Foreign currency loans- sec ins</t>
  </si>
  <si>
    <t>From institution- sec</t>
  </si>
  <si>
    <t>Overdraft- sec ecl</t>
  </si>
  <si>
    <t>Cash credit &amp; packing credit-sec wcl</t>
  </si>
  <si>
    <t>Others- sec wcl</t>
  </si>
  <si>
    <t>Working capital loans- sec</t>
  </si>
  <si>
    <t>Buyers credits -sec</t>
  </si>
  <si>
    <t>Commercial borrowings- sec</t>
  </si>
  <si>
    <t>Other secured loans- sec</t>
  </si>
  <si>
    <t>Secured st loans repayable on demands</t>
  </si>
  <si>
    <t>Ruppes loan - unsec bank</t>
  </si>
  <si>
    <t>Foreign currency loans - unsec bank</t>
  </si>
  <si>
    <t>From bank- unsec</t>
  </si>
  <si>
    <t>Ruppes loan - unsec inst</t>
  </si>
  <si>
    <t>Foreign currency loans - unsec inst</t>
  </si>
  <si>
    <t>From institution - unsec</t>
  </si>
  <si>
    <t>Overdraft- unsec wcl</t>
  </si>
  <si>
    <t>Cash credit &amp; packing credit- unsec wcl</t>
  </si>
  <si>
    <t>Others- unsec wcl</t>
  </si>
  <si>
    <t>Working capital loans - unsec</t>
  </si>
  <si>
    <t>Buyers credits - unsec</t>
  </si>
  <si>
    <t>Commercial borrowings- unsec</t>
  </si>
  <si>
    <t>Commercial papers- unsec</t>
  </si>
  <si>
    <t>Security deposits / deposits</t>
  </si>
  <si>
    <t>Loans from related party</t>
  </si>
  <si>
    <t>Other unsecured loans</t>
  </si>
  <si>
    <t>Unsecured st loans repayable on demands</t>
  </si>
  <si>
    <t>Short term borrowings</t>
  </si>
  <si>
    <t>Bank overdraft / short term credit</t>
  </si>
  <si>
    <t>Current maturity - term loans</t>
  </si>
  <si>
    <t>Current maturity - foreign loans</t>
  </si>
  <si>
    <t>Total borrowing</t>
  </si>
  <si>
    <t>Borrowings</t>
  </si>
  <si>
    <t>Equity and liabilities</t>
  </si>
  <si>
    <t>Equity - authorised</t>
  </si>
  <si>
    <t>Equity - issued</t>
  </si>
  <si>
    <t>Equity  - subscribed</t>
  </si>
  <si>
    <t>Equity - called up</t>
  </si>
  <si>
    <t>Less : calls in arrears</t>
  </si>
  <si>
    <t>Equity paid up</t>
  </si>
  <si>
    <t>Equity shares forfeited</t>
  </si>
  <si>
    <t>Adjustments to equity</t>
  </si>
  <si>
    <t>Preference capital paid up</t>
  </si>
  <si>
    <t>Convertible pref. shares</t>
  </si>
  <si>
    <t>Non - convertible pref. shares</t>
  </si>
  <si>
    <t>Unclassified shares paid up</t>
  </si>
  <si>
    <t>Face value</t>
  </si>
  <si>
    <t>Share capital</t>
  </si>
  <si>
    <t>Share warrants &amp; outstandings</t>
  </si>
  <si>
    <t>Securities premium</t>
  </si>
  <si>
    <t>Capital reserves</t>
  </si>
  <si>
    <t>Profit &amp; loss account balance</t>
  </si>
  <si>
    <t>General reserves</t>
  </si>
  <si>
    <t>Investment fluctuation reserve</t>
  </si>
  <si>
    <t>Govt. grant</t>
  </si>
  <si>
    <t>Debenture redemption reserve</t>
  </si>
  <si>
    <t>Amalgamation reserve</t>
  </si>
  <si>
    <t>Exchange fluctuation reserve</t>
  </si>
  <si>
    <t>Statutory reserves</t>
  </si>
  <si>
    <t>Special reserve</t>
  </si>
  <si>
    <t>Investment allowance (utilised) reserve</t>
  </si>
  <si>
    <t>Doubtful debts reserve</t>
  </si>
  <si>
    <t>Deferred tax reserve</t>
  </si>
  <si>
    <t>Export profits reserve</t>
  </si>
  <si>
    <t>Contingency reserve</t>
  </si>
  <si>
    <t>Revenue reserve</t>
  </si>
  <si>
    <t>Subsidy reserve (central / state)</t>
  </si>
  <si>
    <t>Foreign projects reserves</t>
  </si>
  <si>
    <t>Minority reserve</t>
  </si>
  <si>
    <t>Other reserves</t>
  </si>
  <si>
    <t>Hedging reserve</t>
  </si>
  <si>
    <t>Reserve excluding revaluation reserve</t>
  </si>
  <si>
    <t>Revaluation reserve - assets</t>
  </si>
  <si>
    <t>Revaluation reserve - investment</t>
  </si>
  <si>
    <t>Revaluation reserve</t>
  </si>
  <si>
    <t>Total reserves</t>
  </si>
  <si>
    <t>Shareholder's funds</t>
  </si>
  <si>
    <t>Equity and reserves</t>
  </si>
  <si>
    <t>Depreciation &amp; amortization</t>
  </si>
  <si>
    <t>Interest expenses</t>
  </si>
  <si>
    <t>Cash from operating activities (before change in wc)</t>
  </si>
  <si>
    <t>(increase)/decrease in accounts receivable</t>
  </si>
  <si>
    <t>(increase)/decrease in inventories</t>
  </si>
  <si>
    <t>(increase)/decrease in other current assets</t>
  </si>
  <si>
    <t>Increase/(decrease) in accounts payable</t>
  </si>
  <si>
    <t>Increase/(decrease) in other current liability</t>
  </si>
  <si>
    <t>Capital expenditure (maintenance)</t>
  </si>
  <si>
    <t>Capital expenditure (expansion)</t>
  </si>
  <si>
    <t>Cash from investing activities</t>
  </si>
  <si>
    <t>Increase / (decrease) in short term borrowing</t>
  </si>
  <si>
    <t>Dividends paid</t>
  </si>
  <si>
    <t>Other financing activities</t>
  </si>
  <si>
    <t>Free cash flow¹</t>
  </si>
  <si>
    <t>Conversion rate (rs/$)</t>
  </si>
  <si>
    <t>¹ free cash flow = cash flow from operations (less) interest expense (less) maintenance capex</t>
  </si>
  <si>
    <t>Opening</t>
  </si>
  <si>
    <t>Closing</t>
  </si>
  <si>
    <t>Movement</t>
  </si>
  <si>
    <t>Check</t>
  </si>
  <si>
    <t>18-24</t>
  </si>
  <si>
    <t>Cash Flow</t>
  </si>
  <si>
    <t>Share warrants</t>
  </si>
  <si>
    <t>Reserves &amp; surplus</t>
  </si>
  <si>
    <t>Total common equity</t>
  </si>
  <si>
    <t>Accounts payable</t>
  </si>
  <si>
    <t>Provisions</t>
  </si>
  <si>
    <t>Other current liability</t>
  </si>
  <si>
    <t>Defered tax liability/(assets)</t>
  </si>
  <si>
    <t>Other non-current liabilities</t>
  </si>
  <si>
    <t>Liabilites</t>
  </si>
  <si>
    <t>Total liabilities and equity</t>
  </si>
  <si>
    <t>Assets</t>
  </si>
  <si>
    <t>Gross property, plant &amp; equipment</t>
  </si>
  <si>
    <t>Accumulated depreciation</t>
  </si>
  <si>
    <t>Net property, plant &amp; equipment</t>
  </si>
  <si>
    <t>Other long term assets</t>
  </si>
  <si>
    <t>Total current assets</t>
  </si>
  <si>
    <t>Total assets</t>
  </si>
  <si>
    <t>Key ratios</t>
  </si>
  <si>
    <t>ROCE</t>
  </si>
  <si>
    <t>ROE</t>
  </si>
  <si>
    <t>Turnover ratios (days)</t>
  </si>
  <si>
    <t>Debtor/accounts receivable days¹</t>
  </si>
  <si>
    <t>Inventory days¹</t>
  </si>
  <si>
    <t>Other current asset days</t>
  </si>
  <si>
    <t>Short term loans/advances days</t>
  </si>
  <si>
    <t>Creditor/accounts payable days¹</t>
  </si>
  <si>
    <t>Other current liabilities days</t>
  </si>
  <si>
    <t>Provision days</t>
  </si>
  <si>
    <t>Cash conversion days</t>
  </si>
  <si>
    <t>¹ turnover days calculated on sales during the given period.</t>
  </si>
  <si>
    <t>No. of shares (nos mm)</t>
  </si>
  <si>
    <t>Balance Sheet</t>
  </si>
  <si>
    <t>NA</t>
  </si>
  <si>
    <t>Mar-18 (A)</t>
  </si>
  <si>
    <t>Mar-19 (A)</t>
  </si>
  <si>
    <t>Mar-20 (A)</t>
  </si>
  <si>
    <t>Mar-21 (A)</t>
  </si>
  <si>
    <t>Mar-22 (A)</t>
  </si>
  <si>
    <t>Mar-23 (A)</t>
  </si>
  <si>
    <t>Mar-24 (A)</t>
  </si>
  <si>
    <t>Revenue</t>
  </si>
  <si>
    <t>Gross profit</t>
  </si>
  <si>
    <t>EBITDA</t>
  </si>
  <si>
    <t>Depreciation and amortisation</t>
  </si>
  <si>
    <t>EBIT</t>
  </si>
  <si>
    <t xml:space="preserve">Profit Before Taxes </t>
  </si>
  <si>
    <t>Profit before taxes</t>
  </si>
  <si>
    <t>Income tax expense</t>
  </si>
  <si>
    <t>Net income (pre minority interest)</t>
  </si>
  <si>
    <t>Net income (post minority interest)</t>
  </si>
  <si>
    <t>Margin indicators</t>
  </si>
  <si>
    <t>Gross margin</t>
  </si>
  <si>
    <t>EBITDA margin</t>
  </si>
  <si>
    <t>Net income margin</t>
  </si>
  <si>
    <t>Growth indicators</t>
  </si>
  <si>
    <t>Revenue growth</t>
  </si>
  <si>
    <t>EBITDA growth</t>
  </si>
  <si>
    <t>Net income growth</t>
  </si>
  <si>
    <t>CAGR</t>
  </si>
  <si>
    <t>Income Statement</t>
  </si>
  <si>
    <t>Year end share price</t>
  </si>
  <si>
    <t>Market cap</t>
  </si>
  <si>
    <t>Enterprise value</t>
  </si>
  <si>
    <t>EV/EBITDA</t>
  </si>
  <si>
    <t>P/E</t>
  </si>
  <si>
    <t>P/BV</t>
  </si>
  <si>
    <t>Net income</t>
  </si>
  <si>
    <t>Net worth</t>
  </si>
  <si>
    <t>Net debt</t>
  </si>
  <si>
    <t>Book value per share</t>
  </si>
  <si>
    <t>Earning per share</t>
  </si>
  <si>
    <t>Cash conversion cycle</t>
  </si>
  <si>
    <t>No. of shares outstanding</t>
  </si>
  <si>
    <t>Dashboard</t>
  </si>
  <si>
    <t>Rs</t>
  </si>
  <si>
    <t>No. days</t>
  </si>
  <si>
    <t>%</t>
  </si>
  <si>
    <t>x</t>
  </si>
  <si>
    <t>Nos mm</t>
  </si>
  <si>
    <t>Units</t>
  </si>
  <si>
    <t xml:space="preserve"> </t>
  </si>
  <si>
    <t>Mar-25(A)</t>
  </si>
  <si>
    <t>Mar-25 (A)</t>
  </si>
  <si>
    <t xml:space="preserve">Q1FY26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</si>
</sst>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 - &quot;??_);_(@_)"/>
    <numFmt numFmtId="165" formatCode="0.0%"/>
    <numFmt numFmtId="166" formatCode="0.0"/>
    <numFmt numFmtId="167" formatCode="0.0%;\(0.0%\)"/>
    <numFmt numFmtId="168" formatCode="#,##0.0\x"/>
    <numFmt numFmtId="169" formatCode="_(* #,##0.0_);_(* \(#,##0.0\);_(* &quot; - &quot;??_);_(@_)"/>
  </numFmts>
  <fonts count="26">
    <font>
      <sz val="11"/>
      <color theme="1"/>
      <name val="Calibri Body"/>
      <family val="2"/>
    </font>
    <font>
      <b/>
      <sz val="11"/>
      <color theme="1"/>
      <name val="Calibri Body"/>
      <family val="2"/>
    </font>
    <font>
      <b/>
      <sz val="11"/>
      <color theme="1"/>
      <name val="Calibri Body"/>
    </font>
    <font>
      <b/>
      <sz val="11"/>
      <color theme="1"/>
      <name val="Calibri"/>
      <family val="2"/>
    </font>
    <font>
      <b/>
      <sz val="36"/>
      <color rgb="FF000080"/>
      <name val="Calibri"/>
      <family val="2"/>
    </font>
    <font>
      <b/>
      <sz val="24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 Body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 Body"/>
      <family val="2"/>
    </font>
    <font>
      <sz val="11"/>
      <color rgb="FFFFFFFF"/>
      <name val="Calibri Body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 Body"/>
      <family val="2"/>
    </font>
    <font>
      <i/>
      <sz val="11"/>
      <color rgb="FFFF0000"/>
      <name val="Calibri"/>
      <family val="2"/>
    </font>
    <font>
      <sz val="9"/>
      <color theme="1"/>
      <name val="Calibri"/>
      <family val="2"/>
    </font>
    <font>
      <sz val="9"/>
      <color rgb="FF0000FF"/>
      <name val="Calibri"/>
      <family val="2"/>
    </font>
    <font>
      <sz val="9"/>
      <color theme="1"/>
      <name val="Calibri Body"/>
      <family val="2"/>
    </font>
    <font>
      <b/>
      <sz val="9"/>
      <color theme="1"/>
      <name val="Calibri Body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F243E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7" fillId="0" borderId="0" xfId="0" applyFont="1"/>
    <xf numFmtId="164" fontId="8" fillId="0" borderId="1" xfId="0" applyNumberFormat="1" applyFont="1" applyBorder="1" applyAlignment="1">
      <alignment horizontal="right"/>
    </xf>
    <xf numFmtId="164" fontId="11" fillId="0" borderId="2" xfId="0" applyNumberFormat="1" applyFont="1" applyBorder="1" applyAlignment="1">
      <alignment horizontal="right"/>
    </xf>
    <xf numFmtId="0" fontId="12" fillId="0" borderId="0" xfId="0" applyFont="1"/>
    <xf numFmtId="164" fontId="11" fillId="0" borderId="1" xfId="0" applyNumberFormat="1" applyFont="1" applyBorder="1" applyAlignment="1">
      <alignment horizontal="right"/>
    </xf>
    <xf numFmtId="164" fontId="11" fillId="0" borderId="3" xfId="0" applyNumberFormat="1" applyFont="1" applyBorder="1" applyAlignment="1">
      <alignment horizontal="right"/>
    </xf>
    <xf numFmtId="2" fontId="11" fillId="3" borderId="0" xfId="0" applyNumberFormat="1" applyFont="1" applyFill="1" applyAlignment="1">
      <alignment horizontal="right"/>
    </xf>
    <xf numFmtId="2" fontId="15" fillId="3" borderId="1" xfId="0" applyNumberFormat="1" applyFont="1" applyFill="1" applyBorder="1" applyAlignment="1">
      <alignment horizontal="right"/>
    </xf>
    <xf numFmtId="2" fontId="11" fillId="3" borderId="0" xfId="0" applyNumberFormat="1" applyFont="1" applyFill="1" applyAlignment="1">
      <alignment horizontal="left"/>
    </xf>
    <xf numFmtId="164" fontId="16" fillId="3" borderId="1" xfId="0" applyNumberFormat="1" applyFont="1" applyFill="1" applyBorder="1" applyAlignment="1">
      <alignment horizontal="center"/>
    </xf>
    <xf numFmtId="2" fontId="1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0" fillId="2" borderId="0" xfId="0" applyFill="1"/>
    <xf numFmtId="2" fontId="7" fillId="0" borderId="0" xfId="0" applyNumberFormat="1" applyFont="1"/>
    <xf numFmtId="164" fontId="8" fillId="0" borderId="0" xfId="0" applyNumberFormat="1" applyFont="1" applyAlignment="1">
      <alignment horizontal="right"/>
    </xf>
    <xf numFmtId="2" fontId="11" fillId="0" borderId="0" xfId="0" applyNumberFormat="1" applyFont="1"/>
    <xf numFmtId="164" fontId="11" fillId="0" borderId="0" xfId="0" applyNumberFormat="1" applyFont="1" applyAlignment="1">
      <alignment horizontal="right"/>
    </xf>
    <xf numFmtId="164" fontId="8" fillId="0" borderId="2" xfId="0" applyNumberFormat="1" applyFont="1" applyBorder="1" applyAlignment="1">
      <alignment horizontal="right"/>
    </xf>
    <xf numFmtId="164" fontId="15" fillId="0" borderId="2" xfId="0" applyNumberFormat="1" applyFont="1" applyBorder="1" applyAlignment="1">
      <alignment horizontal="right"/>
    </xf>
    <xf numFmtId="164" fontId="11" fillId="0" borderId="4" xfId="0" applyNumberFormat="1" applyFont="1" applyBorder="1" applyAlignment="1">
      <alignment horizontal="right"/>
    </xf>
    <xf numFmtId="2" fontId="17" fillId="0" borderId="0" xfId="0" applyNumberFormat="1" applyFont="1"/>
    <xf numFmtId="2" fontId="18" fillId="0" borderId="0" xfId="0" applyNumberFormat="1" applyFont="1"/>
    <xf numFmtId="10" fontId="7" fillId="0" borderId="0" xfId="0" applyNumberFormat="1" applyFont="1"/>
    <xf numFmtId="164" fontId="9" fillId="0" borderId="0" xfId="0" applyNumberFormat="1" applyFont="1" applyAlignment="1">
      <alignment horizontal="right"/>
    </xf>
    <xf numFmtId="164" fontId="8" fillId="0" borderId="3" xfId="0" applyNumberFormat="1" applyFont="1" applyBorder="1" applyAlignment="1">
      <alignment horizontal="right"/>
    </xf>
    <xf numFmtId="2" fontId="3" fillId="0" borderId="0" xfId="0" applyNumberFormat="1" applyFont="1"/>
    <xf numFmtId="164" fontId="10" fillId="0" borderId="0" xfId="0" applyNumberFormat="1" applyFont="1" applyAlignment="1">
      <alignment horizontal="right"/>
    </xf>
    <xf numFmtId="2" fontId="7" fillId="0" borderId="0" xfId="0" quotePrefix="1" applyNumberFormat="1" applyFont="1"/>
    <xf numFmtId="2" fontId="18" fillId="0" borderId="0" xfId="0" quotePrefix="1" applyNumberFormat="1" applyFont="1"/>
    <xf numFmtId="2" fontId="11" fillId="0" borderId="0" xfId="0" quotePrefix="1" applyNumberFormat="1" applyFont="1"/>
    <xf numFmtId="2" fontId="15" fillId="0" borderId="0" xfId="0" applyNumberFormat="1" applyFont="1"/>
    <xf numFmtId="164" fontId="15" fillId="0" borderId="0" xfId="0" applyNumberFormat="1" applyFont="1" applyAlignment="1">
      <alignment horizontal="right"/>
    </xf>
    <xf numFmtId="2" fontId="15" fillId="0" borderId="0" xfId="0" quotePrefix="1" applyNumberFormat="1" applyFont="1"/>
    <xf numFmtId="164" fontId="8" fillId="0" borderId="5" xfId="0" applyNumberFormat="1" applyFont="1" applyBorder="1" applyAlignment="1">
      <alignment horizontal="right"/>
    </xf>
    <xf numFmtId="0" fontId="1" fillId="0" borderId="0" xfId="0" applyFont="1"/>
    <xf numFmtId="164" fontId="15" fillId="0" borderId="1" xfId="0" applyNumberFormat="1" applyFont="1" applyBorder="1" applyAlignment="1">
      <alignment horizontal="right"/>
    </xf>
    <xf numFmtId="0" fontId="19" fillId="0" borderId="0" xfId="0" applyFont="1"/>
    <xf numFmtId="0" fontId="2" fillId="3" borderId="0" xfId="0" quotePrefix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2" fontId="15" fillId="0" borderId="0" xfId="0" applyNumberFormat="1" applyFont="1" applyAlignment="1">
      <alignment horizontal="right"/>
    </xf>
    <xf numFmtId="2" fontId="21" fillId="0" borderId="0" xfId="0" applyNumberFormat="1" applyFont="1"/>
    <xf numFmtId="164" fontId="22" fillId="0" borderId="0" xfId="0" applyNumberFormat="1" applyFont="1" applyAlignment="1">
      <alignment horizontal="right"/>
    </xf>
    <xf numFmtId="2" fontId="20" fillId="0" borderId="0" xfId="0" applyNumberFormat="1" applyFont="1"/>
    <xf numFmtId="164" fontId="20" fillId="0" borderId="0" xfId="0" applyNumberFormat="1" applyFont="1" applyAlignment="1">
      <alignment horizontal="right"/>
    </xf>
    <xf numFmtId="0" fontId="13" fillId="2" borderId="0" xfId="0" applyFont="1" applyFill="1"/>
    <xf numFmtId="10" fontId="15" fillId="0" borderId="0" xfId="0" applyNumberFormat="1" applyFont="1"/>
    <xf numFmtId="166" fontId="8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7" fontId="12" fillId="0" borderId="0" xfId="0" applyNumberFormat="1" applyFont="1"/>
    <xf numFmtId="167" fontId="0" fillId="0" borderId="0" xfId="0" applyNumberFormat="1"/>
    <xf numFmtId="167" fontId="7" fillId="4" borderId="0" xfId="0" applyNumberFormat="1" applyFont="1" applyFill="1" applyAlignment="1">
      <alignment horizontal="center"/>
    </xf>
    <xf numFmtId="167" fontId="0" fillId="4" borderId="0" xfId="0" applyNumberFormat="1" applyFill="1"/>
    <xf numFmtId="0" fontId="0" fillId="0" borderId="0" xfId="0" applyAlignment="1">
      <alignment wrapText="1"/>
    </xf>
    <xf numFmtId="0" fontId="11" fillId="3" borderId="0" xfId="0" applyFont="1" applyFill="1" applyAlignment="1">
      <alignment horizontal="right"/>
    </xf>
    <xf numFmtId="0" fontId="15" fillId="3" borderId="1" xfId="0" applyFont="1" applyFill="1" applyBorder="1" applyAlignment="1">
      <alignment horizontal="right" wrapText="1"/>
    </xf>
    <xf numFmtId="0" fontId="11" fillId="3" borderId="0" xfId="0" applyFont="1" applyFill="1" applyAlignment="1">
      <alignment horizontal="left"/>
    </xf>
    <xf numFmtId="0" fontId="11" fillId="3" borderId="0" xfId="0" applyFont="1" applyFill="1" applyAlignment="1">
      <alignment horizontal="left" wrapText="1"/>
    </xf>
    <xf numFmtId="0" fontId="16" fillId="3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3" fillId="0" borderId="0" xfId="0" applyFont="1"/>
    <xf numFmtId="0" fontId="14" fillId="2" borderId="0" xfId="0" applyFont="1" applyFill="1" applyAlignment="1">
      <alignment horizontal="left" vertical="center" wrapText="1"/>
    </xf>
    <xf numFmtId="0" fontId="24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2" fontId="8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15" fillId="0" borderId="0" xfId="0" applyFont="1" applyAlignment="1">
      <alignment wrapText="1"/>
    </xf>
    <xf numFmtId="164" fontId="15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8" fontId="15" fillId="0" borderId="0" xfId="0" applyNumberFormat="1" applyFont="1" applyAlignment="1">
      <alignment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Alignment="1">
      <alignment horizontal="right"/>
    </xf>
    <xf numFmtId="166" fontId="15" fillId="0" borderId="0" xfId="0" applyNumberFormat="1" applyFont="1" applyAlignment="1">
      <alignment wrapText="1"/>
    </xf>
    <xf numFmtId="166" fontId="15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right"/>
    </xf>
    <xf numFmtId="169" fontId="15" fillId="0" borderId="0" xfId="0" applyNumberFormat="1" applyFont="1" applyAlignment="1">
      <alignment wrapText="1"/>
    </xf>
    <xf numFmtId="169" fontId="15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right"/>
    </xf>
    <xf numFmtId="10" fontId="15" fillId="0" borderId="0" xfId="0" applyNumberFormat="1" applyFont="1" applyAlignment="1">
      <alignment wrapText="1"/>
    </xf>
    <xf numFmtId="165" fontId="15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12" fillId="0" borderId="0" xfId="0" applyFont="1" applyAlignment="1">
      <alignment horizontal="center" vertical="center"/>
    </xf>
    <xf numFmtId="167" fontId="12" fillId="0" borderId="0" xfId="0" applyNumberFormat="1" applyFont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2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64" fontId="11" fillId="0" borderId="1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60EF-A633-4DC0-84F3-6186DF59F0C0}">
  <dimension ref="B1:K21"/>
  <sheetViews>
    <sheetView showGridLines="0" tabSelected="1" view="pageBreakPreview" zoomScaleNormal="100" zoomScaleSheetLayoutView="100" workbookViewId="0">
      <selection activeCell="H22" sqref="H22"/>
    </sheetView>
  </sheetViews>
  <sheetFormatPr defaultRowHeight="14.25"/>
  <cols>
    <col min="1" max="1" width="1.625" customWidth="1"/>
    <col min="2" max="2" width="40.625" customWidth="1"/>
  </cols>
  <sheetData>
    <row r="1" spans="2:11" ht="15" thickBot="1"/>
    <row r="2" spans="2:11">
      <c r="B2" s="98"/>
      <c r="C2" s="99"/>
      <c r="D2" s="99"/>
      <c r="E2" s="99"/>
      <c r="F2" s="99"/>
      <c r="G2" s="99"/>
      <c r="H2" s="99"/>
      <c r="I2" s="99"/>
      <c r="J2" s="99"/>
      <c r="K2" s="100"/>
    </row>
    <row r="3" spans="2:11">
      <c r="B3" s="106" t="s">
        <v>0</v>
      </c>
      <c r="C3" s="107"/>
      <c r="D3" s="107"/>
      <c r="E3" s="107"/>
      <c r="F3" s="107"/>
      <c r="G3" s="107"/>
      <c r="H3" s="107"/>
      <c r="I3" s="107"/>
      <c r="J3" s="107"/>
      <c r="K3" s="108"/>
    </row>
    <row r="4" spans="2:11">
      <c r="B4" s="106"/>
      <c r="C4" s="107"/>
      <c r="D4" s="107"/>
      <c r="E4" s="107"/>
      <c r="F4" s="107"/>
      <c r="G4" s="107"/>
      <c r="H4" s="107"/>
      <c r="I4" s="107"/>
      <c r="J4" s="107"/>
      <c r="K4" s="108"/>
    </row>
    <row r="5" spans="2:11">
      <c r="B5" s="106"/>
      <c r="C5" s="107"/>
      <c r="D5" s="107"/>
      <c r="E5" s="107"/>
      <c r="F5" s="107"/>
      <c r="G5" s="107"/>
      <c r="H5" s="107"/>
      <c r="I5" s="107"/>
      <c r="J5" s="107"/>
      <c r="K5" s="108"/>
    </row>
    <row r="6" spans="2:11">
      <c r="B6" s="106"/>
      <c r="C6" s="107"/>
      <c r="D6" s="107"/>
      <c r="E6" s="107"/>
      <c r="F6" s="107"/>
      <c r="G6" s="107"/>
      <c r="H6" s="107"/>
      <c r="I6" s="107"/>
      <c r="J6" s="107"/>
      <c r="K6" s="108"/>
    </row>
    <row r="7" spans="2:11">
      <c r="B7" s="106"/>
      <c r="C7" s="107"/>
      <c r="D7" s="107"/>
      <c r="E7" s="107"/>
      <c r="F7" s="107"/>
      <c r="G7" s="107"/>
      <c r="H7" s="107"/>
      <c r="I7" s="107"/>
      <c r="J7" s="107"/>
      <c r="K7" s="108"/>
    </row>
    <row r="8" spans="2:11">
      <c r="B8" s="106"/>
      <c r="C8" s="107"/>
      <c r="D8" s="107"/>
      <c r="E8" s="107"/>
      <c r="F8" s="107"/>
      <c r="G8" s="107"/>
      <c r="H8" s="107"/>
      <c r="I8" s="107"/>
      <c r="J8" s="107"/>
      <c r="K8" s="108"/>
    </row>
    <row r="9" spans="2:11">
      <c r="B9" s="106"/>
      <c r="C9" s="107"/>
      <c r="D9" s="107"/>
      <c r="E9" s="107"/>
      <c r="F9" s="107"/>
      <c r="G9" s="107"/>
      <c r="H9" s="107"/>
      <c r="I9" s="107"/>
      <c r="J9" s="107"/>
      <c r="K9" s="108"/>
    </row>
    <row r="10" spans="2:11">
      <c r="B10" s="106"/>
      <c r="C10" s="107"/>
      <c r="D10" s="107"/>
      <c r="E10" s="107"/>
      <c r="F10" s="107"/>
      <c r="G10" s="107"/>
      <c r="H10" s="107"/>
      <c r="I10" s="107"/>
      <c r="J10" s="107"/>
      <c r="K10" s="108"/>
    </row>
    <row r="11" spans="2:11">
      <c r="B11" s="101"/>
      <c r="K11" s="102"/>
    </row>
    <row r="12" spans="2:11">
      <c r="B12" s="109" t="s">
        <v>1</v>
      </c>
      <c r="C12" s="110"/>
      <c r="D12" s="110"/>
      <c r="E12" s="110"/>
      <c r="F12" s="110"/>
      <c r="G12" s="110"/>
      <c r="H12" s="110"/>
      <c r="I12" s="110"/>
      <c r="J12" s="110"/>
      <c r="K12" s="111"/>
    </row>
    <row r="13" spans="2:11">
      <c r="B13" s="109"/>
      <c r="C13" s="110"/>
      <c r="D13" s="110"/>
      <c r="E13" s="110"/>
      <c r="F13" s="110"/>
      <c r="G13" s="110"/>
      <c r="H13" s="110"/>
      <c r="I13" s="110"/>
      <c r="J13" s="110"/>
      <c r="K13" s="111"/>
    </row>
    <row r="14" spans="2:11">
      <c r="B14" s="109"/>
      <c r="C14" s="110"/>
      <c r="D14" s="110"/>
      <c r="E14" s="110"/>
      <c r="F14" s="110"/>
      <c r="G14" s="110"/>
      <c r="H14" s="110"/>
      <c r="I14" s="110"/>
      <c r="J14" s="110"/>
      <c r="K14" s="111"/>
    </row>
    <row r="15" spans="2:11">
      <c r="B15" s="101"/>
      <c r="K15" s="102"/>
    </row>
    <row r="16" spans="2:11" ht="18.75">
      <c r="B16" s="112"/>
      <c r="C16" s="113"/>
      <c r="D16" s="113"/>
      <c r="E16" s="113"/>
      <c r="F16" s="113"/>
      <c r="G16" s="113"/>
      <c r="H16" s="113"/>
      <c r="I16" s="113"/>
      <c r="J16" s="113"/>
      <c r="K16" s="114"/>
    </row>
    <row r="17" spans="2:11">
      <c r="B17" s="101"/>
      <c r="K17" s="102"/>
    </row>
    <row r="18" spans="2:11">
      <c r="B18" s="101"/>
      <c r="K18" s="102"/>
    </row>
    <row r="19" spans="2:11">
      <c r="B19" s="101"/>
      <c r="K19" s="102"/>
    </row>
    <row r="20" spans="2:11">
      <c r="B20" s="101"/>
      <c r="K20" s="102"/>
    </row>
    <row r="21" spans="2:11" ht="15" thickBot="1">
      <c r="B21" s="103"/>
      <c r="C21" s="97"/>
      <c r="D21" s="97"/>
      <c r="E21" s="97"/>
      <c r="F21" s="97"/>
      <c r="G21" s="97"/>
      <c r="H21" s="97"/>
      <c r="I21" s="97"/>
      <c r="J21" s="97"/>
      <c r="K21" s="104"/>
    </row>
  </sheetData>
  <mergeCells count="3">
    <mergeCell ref="B3:K10"/>
    <mergeCell ref="B12:K14"/>
    <mergeCell ref="B16:K16"/>
  </mergeCells>
  <printOptions horizontalCentered="1" verticalCentered="1"/>
  <pageMargins left="0.25" right="0.25" top="0.25" bottom="0.25" header="0.05" footer="0.05"/>
  <pageSetup paperSize="9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4265-B714-4592-9981-11B82BC03047}">
  <sheetPr>
    <pageSetUpPr fitToPage="1"/>
  </sheetPr>
  <dimension ref="A1:L101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9" sqref="D9"/>
    </sheetView>
  </sheetViews>
  <sheetFormatPr defaultRowHeight="14.25"/>
  <cols>
    <col min="1" max="1" width="35.625" customWidth="1"/>
    <col min="2" max="10" width="9.625" customWidth="1"/>
    <col min="11" max="11" width="2.625" customWidth="1"/>
    <col min="12" max="12" width="9.625" customWidth="1"/>
  </cols>
  <sheetData>
    <row r="1" spans="1:12" ht="15">
      <c r="A1" s="12" t="str">
        <f>+Cover!B3</f>
        <v>Knowledge Marine &amp; Engineering Works Ltd.</v>
      </c>
      <c r="I1" t="s">
        <v>682</v>
      </c>
      <c r="J1" t="s">
        <v>682</v>
      </c>
    </row>
    <row r="2" spans="1:12">
      <c r="A2" s="55"/>
    </row>
    <row r="3" spans="1:12" ht="15">
      <c r="A3" s="64" t="s">
        <v>675</v>
      </c>
      <c r="B3" s="47"/>
      <c r="C3" s="47"/>
      <c r="D3" s="47"/>
      <c r="E3" s="47"/>
      <c r="F3" s="47"/>
      <c r="G3" s="47"/>
      <c r="H3" s="47"/>
      <c r="I3" s="47"/>
      <c r="J3" s="47"/>
      <c r="L3" s="105" t="s">
        <v>660</v>
      </c>
    </row>
    <row r="4" spans="1:12" ht="15">
      <c r="A4" s="59" t="s">
        <v>27</v>
      </c>
      <c r="B4" s="61" t="s">
        <v>681</v>
      </c>
      <c r="C4" s="58" t="s">
        <v>635</v>
      </c>
      <c r="D4" s="56" t="s">
        <v>636</v>
      </c>
      <c r="E4" s="56" t="s">
        <v>637</v>
      </c>
      <c r="F4" s="56" t="s">
        <v>638</v>
      </c>
      <c r="G4" s="56" t="s">
        <v>639</v>
      </c>
      <c r="H4" s="56" t="s">
        <v>640</v>
      </c>
      <c r="I4" s="56" t="s">
        <v>641</v>
      </c>
      <c r="J4" s="56" t="s">
        <v>683</v>
      </c>
      <c r="K4" s="36"/>
      <c r="L4" s="39" t="s">
        <v>600</v>
      </c>
    </row>
    <row r="5" spans="1:12" ht="15">
      <c r="A5" s="57"/>
      <c r="B5" s="62"/>
      <c r="C5" s="60" t="s">
        <v>9</v>
      </c>
      <c r="D5" s="60" t="s">
        <v>9</v>
      </c>
      <c r="E5" s="60" t="s">
        <v>9</v>
      </c>
      <c r="F5" s="60" t="s">
        <v>9</v>
      </c>
      <c r="G5" s="60" t="s">
        <v>9</v>
      </c>
      <c r="H5" s="60" t="s">
        <v>9</v>
      </c>
      <c r="I5" s="60" t="s">
        <v>9</v>
      </c>
      <c r="J5" s="60" t="s">
        <v>9</v>
      </c>
      <c r="K5" s="65"/>
      <c r="L5" s="40"/>
    </row>
    <row r="6" spans="1:12" ht="15">
      <c r="A6" s="66" t="s">
        <v>662</v>
      </c>
      <c r="B6" s="67" t="s">
        <v>676</v>
      </c>
      <c r="C6" s="68">
        <v>0</v>
      </c>
      <c r="D6" s="69">
        <v>0</v>
      </c>
      <c r="E6" s="69">
        <v>0</v>
      </c>
      <c r="F6" s="69">
        <v>37</v>
      </c>
      <c r="G6" s="69">
        <v>172.95</v>
      </c>
      <c r="H6" s="69">
        <v>901.45</v>
      </c>
      <c r="I6" s="69">
        <v>1405.8</v>
      </c>
      <c r="J6" s="69">
        <v>1665.15</v>
      </c>
      <c r="K6" s="70"/>
      <c r="L6" s="41"/>
    </row>
    <row r="7" spans="1:12" ht="15">
      <c r="A7" s="71" t="s">
        <v>663</v>
      </c>
      <c r="B7" s="72" t="s">
        <v>27</v>
      </c>
      <c r="C7" s="33">
        <f>C6*C31</f>
        <v>0</v>
      </c>
      <c r="D7" s="33">
        <f t="shared" ref="D7:I7" si="0">D6*D31</f>
        <v>0</v>
      </c>
      <c r="E7" s="33">
        <f t="shared" si="0"/>
        <v>0</v>
      </c>
      <c r="F7" s="33">
        <f t="shared" si="0"/>
        <v>377.4</v>
      </c>
      <c r="G7" s="33">
        <f t="shared" si="0"/>
        <v>1764.0899999999997</v>
      </c>
      <c r="H7" s="33">
        <f t="shared" si="0"/>
        <v>9735.6600000000017</v>
      </c>
      <c r="I7" s="33">
        <f t="shared" si="0"/>
        <v>15182.640000000001</v>
      </c>
      <c r="J7" s="33">
        <f t="shared" ref="J7" si="1">J6*J31</f>
        <v>17983.620000000003</v>
      </c>
      <c r="K7" s="73"/>
      <c r="L7" s="41"/>
    </row>
    <row r="8" spans="1:12" ht="15">
      <c r="A8" s="71" t="s">
        <v>664</v>
      </c>
      <c r="B8" s="72" t="s">
        <v>27</v>
      </c>
      <c r="C8" s="33">
        <f>+C7+C19</f>
        <v>76.185999999999993</v>
      </c>
      <c r="D8" s="33">
        <f t="shared" ref="D8:I8" si="2">+D7+D19</f>
        <v>56.239999999999995</v>
      </c>
      <c r="E8" s="33">
        <f t="shared" si="2"/>
        <v>164.55183399999999</v>
      </c>
      <c r="F8" s="33">
        <f t="shared" si="2"/>
        <v>450.66599999999994</v>
      </c>
      <c r="G8" s="33">
        <f t="shared" si="2"/>
        <v>1826.6299999999997</v>
      </c>
      <c r="H8" s="33">
        <f t="shared" si="2"/>
        <v>9443.3030000000017</v>
      </c>
      <c r="I8" s="33">
        <f t="shared" si="2"/>
        <v>15304.240000000002</v>
      </c>
      <c r="J8" s="33">
        <f t="shared" ref="J8" si="3">+J7+J19</f>
        <v>18893.030000000002</v>
      </c>
      <c r="K8" s="73"/>
      <c r="L8" s="41"/>
    </row>
    <row r="9" spans="1:12" ht="6" customHeight="1">
      <c r="A9" s="66"/>
      <c r="B9" s="74"/>
      <c r="C9" s="75"/>
      <c r="D9" s="75"/>
      <c r="E9" s="75"/>
      <c r="F9" s="75"/>
      <c r="G9" s="75"/>
      <c r="H9" s="75"/>
      <c r="I9" s="75"/>
      <c r="J9" s="75"/>
      <c r="K9" s="76"/>
      <c r="L9" s="41"/>
    </row>
    <row r="10" spans="1:12" ht="15">
      <c r="A10" s="77" t="s">
        <v>665</v>
      </c>
      <c r="B10" s="78" t="s">
        <v>679</v>
      </c>
      <c r="C10" s="79">
        <f>IF(C15=0,"NA",C8/C15)</f>
        <v>2.9831238497983481</v>
      </c>
      <c r="D10" s="79">
        <f t="shared" ref="D10:I10" si="4">IF(D15=0,"NA",D8/D15)</f>
        <v>1.3063879210220675</v>
      </c>
      <c r="E10" s="79">
        <f t="shared" si="4"/>
        <v>2.120614764458836</v>
      </c>
      <c r="F10" s="79">
        <f t="shared" si="4"/>
        <v>3.4261278109747759</v>
      </c>
      <c r="G10" s="79">
        <f t="shared" si="4"/>
        <v>5.6351032848786984</v>
      </c>
      <c r="H10" s="79">
        <f t="shared" si="4"/>
        <v>13.748812323013203</v>
      </c>
      <c r="I10" s="79">
        <f t="shared" si="4"/>
        <v>30.684946887644024</v>
      </c>
      <c r="J10" s="79">
        <f t="shared" ref="J10" si="5">IF(J15=0,"NA",J8/J15)</f>
        <v>24.155220667109052</v>
      </c>
      <c r="K10" s="73"/>
      <c r="L10" s="41"/>
    </row>
    <row r="11" spans="1:12" ht="15">
      <c r="A11" s="77" t="s">
        <v>666</v>
      </c>
      <c r="B11" s="78" t="s">
        <v>679</v>
      </c>
      <c r="C11" s="79">
        <f>IF(C16=0,"NA",C7/C16)</f>
        <v>0</v>
      </c>
      <c r="D11" s="79">
        <f t="shared" ref="D11:I11" si="6">IF(D16=0,"NA",D7/D16)</f>
        <v>0</v>
      </c>
      <c r="E11" s="79">
        <f t="shared" si="6"/>
        <v>0</v>
      </c>
      <c r="F11" s="79">
        <f t="shared" si="6"/>
        <v>5.7847059364510098</v>
      </c>
      <c r="G11" s="79">
        <f t="shared" si="6"/>
        <v>9.0992510522406498</v>
      </c>
      <c r="H11" s="79">
        <f t="shared" si="6"/>
        <v>20.892288081580634</v>
      </c>
      <c r="I11" s="79">
        <f t="shared" si="6"/>
        <v>55.728380560857488</v>
      </c>
      <c r="J11" s="79">
        <f t="shared" ref="J11" si="7">IF(J16=0,"NA",J7/J16)</f>
        <v>36.256275024495309</v>
      </c>
      <c r="K11" s="73"/>
      <c r="L11" s="41"/>
    </row>
    <row r="12" spans="1:12" ht="15">
      <c r="A12" s="77" t="s">
        <v>667</v>
      </c>
      <c r="B12" s="78" t="s">
        <v>679</v>
      </c>
      <c r="C12" s="79">
        <f>IF(C18=0,"NA",C7/C18)</f>
        <v>0</v>
      </c>
      <c r="D12" s="79">
        <f t="shared" ref="D12:I12" si="8">IF(D18=0,"NA",D7/D18)</f>
        <v>0</v>
      </c>
      <c r="E12" s="79">
        <f t="shared" si="8"/>
        <v>0</v>
      </c>
      <c r="F12" s="79">
        <f t="shared" si="8"/>
        <v>1.3974206591648799</v>
      </c>
      <c r="G12" s="79">
        <f t="shared" si="8"/>
        <v>3.7244825787981339</v>
      </c>
      <c r="H12" s="79">
        <f t="shared" si="8"/>
        <v>7.2653094729929419</v>
      </c>
      <c r="I12" s="79">
        <f t="shared" si="8"/>
        <v>9.0863683289196118</v>
      </c>
      <c r="J12" s="79">
        <f t="shared" ref="J12" si="9">IF(J18=0,"NA",J7/J18)</f>
        <v>8.2701789917195292</v>
      </c>
      <c r="K12" s="73"/>
      <c r="L12" s="41"/>
    </row>
    <row r="13" spans="1:12" ht="6" customHeight="1">
      <c r="A13" s="77"/>
      <c r="B13" s="78"/>
      <c r="C13" s="79"/>
      <c r="D13" s="79"/>
      <c r="E13" s="79"/>
      <c r="F13" s="79"/>
      <c r="G13" s="79"/>
      <c r="H13" s="79"/>
      <c r="I13" s="79"/>
      <c r="J13" s="79"/>
      <c r="K13" s="73"/>
      <c r="L13" s="41"/>
    </row>
    <row r="14" spans="1:12" ht="15">
      <c r="A14" s="71" t="s">
        <v>642</v>
      </c>
      <c r="B14" s="72" t="s">
        <v>27</v>
      </c>
      <c r="C14" s="33">
        <f>'CF IS'!C6</f>
        <v>106.009</v>
      </c>
      <c r="D14" s="33">
        <f>'CF IS'!D6</f>
        <v>105.672</v>
      </c>
      <c r="E14" s="33">
        <f>'CF IS'!E6</f>
        <v>239.088088</v>
      </c>
      <c r="F14" s="33">
        <f>'CF IS'!F6</f>
        <v>332.822</v>
      </c>
      <c r="G14" s="33">
        <f>'CF IS'!G6</f>
        <v>611.06299999999999</v>
      </c>
      <c r="H14" s="33">
        <f>'CF IS'!H6</f>
        <v>2015.296</v>
      </c>
      <c r="I14" s="33">
        <f>'CF IS'!I6</f>
        <v>1635.8309999999999</v>
      </c>
      <c r="J14" s="33">
        <f>'CF IS'!J6</f>
        <v>2007.0669999999998</v>
      </c>
      <c r="K14" s="73"/>
      <c r="L14" s="53">
        <f xml:space="preserve"> +IFERROR(_xlfn.RRI(6,C14,I14),"NA")</f>
        <v>0.57785085458946051</v>
      </c>
    </row>
    <row r="15" spans="1:12" ht="15">
      <c r="A15" s="71" t="s">
        <v>644</v>
      </c>
      <c r="B15" s="72" t="s">
        <v>27</v>
      </c>
      <c r="C15" s="33">
        <f>'CF IS'!C14</f>
        <v>25.538999999999994</v>
      </c>
      <c r="D15" s="33">
        <f>'CF IS'!D14</f>
        <v>43.04999999999999</v>
      </c>
      <c r="E15" s="33">
        <f>'CF IS'!E14</f>
        <v>77.596287999999987</v>
      </c>
      <c r="F15" s="33">
        <f>'CF IS'!F14</f>
        <v>131.53799999999995</v>
      </c>
      <c r="G15" s="33">
        <f>'CF IS'!G14</f>
        <v>324.15199999999999</v>
      </c>
      <c r="H15" s="33">
        <f>'CF IS'!H14</f>
        <v>686.84499999999991</v>
      </c>
      <c r="I15" s="33">
        <f>'CF IS'!I14</f>
        <v>498.75399999999979</v>
      </c>
      <c r="J15" s="33">
        <f>'CF IS'!J14</f>
        <v>782.15099999999961</v>
      </c>
      <c r="K15" s="73"/>
      <c r="L15" s="53">
        <f xml:space="preserve"> +IFERROR(_xlfn.RRI(6,C15,I15),"NA")</f>
        <v>0.64101953348742846</v>
      </c>
    </row>
    <row r="16" spans="1:12" ht="15">
      <c r="A16" s="71" t="s">
        <v>668</v>
      </c>
      <c r="B16" s="72" t="s">
        <v>27</v>
      </c>
      <c r="C16" s="33">
        <f>'CF IS'!C27</f>
        <v>13.179999999999993</v>
      </c>
      <c r="D16" s="33">
        <f>'CF IS'!D27</f>
        <v>19.015999999999991</v>
      </c>
      <c r="E16" s="33">
        <f>'CF IS'!E27</f>
        <v>34.54285999999999</v>
      </c>
      <c r="F16" s="33">
        <f>'CF IS'!F27</f>
        <v>65.240999999999943</v>
      </c>
      <c r="G16" s="33">
        <f>'CF IS'!G27</f>
        <v>193.87200000000004</v>
      </c>
      <c r="H16" s="33">
        <f>'CF IS'!H27</f>
        <v>465.99299999999988</v>
      </c>
      <c r="I16" s="33">
        <f>'CF IS'!I27</f>
        <v>272.43999999999977</v>
      </c>
      <c r="J16" s="33">
        <f>'CF IS'!J27</f>
        <v>496.01399999999961</v>
      </c>
      <c r="K16" s="73"/>
      <c r="L16" s="53">
        <f xml:space="preserve"> +IFERROR(_xlfn.RRI(6,C16,I16),"NA")</f>
        <v>0.65663148183037578</v>
      </c>
    </row>
    <row r="17" spans="1:12" ht="6" customHeight="1">
      <c r="A17" s="66"/>
      <c r="B17" s="74"/>
      <c r="C17" s="75"/>
      <c r="D17" s="75"/>
      <c r="E17" s="75"/>
      <c r="F17" s="75"/>
      <c r="G17" s="75"/>
      <c r="H17" s="75"/>
      <c r="I17" s="75"/>
      <c r="J17" s="75"/>
      <c r="K17" s="76"/>
      <c r="L17" s="41"/>
    </row>
    <row r="18" spans="1:12" ht="15">
      <c r="A18" s="71" t="s">
        <v>669</v>
      </c>
      <c r="B18" s="72" t="s">
        <v>27</v>
      </c>
      <c r="C18" s="33">
        <f>'CF BS'!C10</f>
        <v>20.339000000000002</v>
      </c>
      <c r="D18" s="33">
        <f>'CF BS'!D10</f>
        <v>64.256</v>
      </c>
      <c r="E18" s="33">
        <f>'CF BS'!E10</f>
        <v>104.232405</v>
      </c>
      <c r="F18" s="33">
        <f>'CF BS'!F10</f>
        <v>270.06900000000002</v>
      </c>
      <c r="G18" s="33">
        <f>'CF BS'!G10</f>
        <v>473.64699999999999</v>
      </c>
      <c r="H18" s="33">
        <f>'CF BS'!H10</f>
        <v>1340.02</v>
      </c>
      <c r="I18" s="33">
        <f>'CF BS'!I10</f>
        <v>1670.925</v>
      </c>
      <c r="J18" s="33">
        <f>'CF BS'!J10</f>
        <v>2174.5140000000001</v>
      </c>
      <c r="K18" s="73"/>
      <c r="L18" s="41"/>
    </row>
    <row r="19" spans="1:12" ht="15">
      <c r="A19" s="71" t="s">
        <v>670</v>
      </c>
      <c r="B19" s="72" t="s">
        <v>27</v>
      </c>
      <c r="C19" s="33">
        <f>'CF BS'!C16-'CF BS'!C38+'CF BS'!C12</f>
        <v>76.185999999999993</v>
      </c>
      <c r="D19" s="33">
        <f>'CF BS'!D16-'CF BS'!D38+'CF BS'!D12</f>
        <v>56.239999999999995</v>
      </c>
      <c r="E19" s="33">
        <f>'CF BS'!E16-'CF BS'!E38+'CF BS'!E12</f>
        <v>164.55183399999999</v>
      </c>
      <c r="F19" s="33">
        <f>'CF BS'!F16-'CF BS'!F38+'CF BS'!F12</f>
        <v>73.265999999999963</v>
      </c>
      <c r="G19" s="33">
        <f>'CF BS'!G16-'CF BS'!G38+'CF BS'!G12</f>
        <v>62.540000000000035</v>
      </c>
      <c r="H19" s="33">
        <f>'CF BS'!H16-'CF BS'!H38+'CF BS'!H12</f>
        <v>-292.35699999999997</v>
      </c>
      <c r="I19" s="33">
        <f>'CF BS'!I16-'CF BS'!I38+'CF BS'!I12</f>
        <v>121.59999999999997</v>
      </c>
      <c r="J19" s="33">
        <f>'CF BS'!J16-'CF BS'!J38+'CF BS'!J12</f>
        <v>909.4100000000002</v>
      </c>
      <c r="K19" s="73"/>
      <c r="L19" s="41"/>
    </row>
    <row r="20" spans="1:12" ht="6" customHeight="1">
      <c r="A20" s="66"/>
      <c r="B20" s="74"/>
      <c r="C20" s="75"/>
      <c r="D20" s="75"/>
      <c r="E20" s="75"/>
      <c r="F20" s="75"/>
      <c r="G20" s="75"/>
      <c r="H20" s="75"/>
      <c r="I20" s="75"/>
      <c r="J20" s="75"/>
      <c r="K20" s="76"/>
      <c r="L20" s="41"/>
    </row>
    <row r="21" spans="1:12" ht="15">
      <c r="A21" s="71" t="s">
        <v>593</v>
      </c>
      <c r="B21" s="72" t="s">
        <v>27</v>
      </c>
      <c r="C21" s="33">
        <f>'CF CFS'!C42</f>
        <v>28.282000000000004</v>
      </c>
      <c r="D21" s="33">
        <f>'CF CFS'!D42</f>
        <v>107.08200000000001</v>
      </c>
      <c r="E21" s="33">
        <f>'CF CFS'!E42</f>
        <v>8.5772250000000003</v>
      </c>
      <c r="F21" s="33">
        <f>'CF CFS'!F42</f>
        <v>31.269000000000005</v>
      </c>
      <c r="G21" s="33">
        <f>'CF CFS'!G42</f>
        <v>321.08100000000002</v>
      </c>
      <c r="H21" s="33">
        <f>'CF CFS'!H42</f>
        <v>188.87900000000008</v>
      </c>
      <c r="I21" s="33">
        <f>'CF CFS'!I42</f>
        <v>304.82400000000001</v>
      </c>
      <c r="J21" s="33">
        <f>'CF CFS'!J42</f>
        <v>578.39300000000003</v>
      </c>
      <c r="K21" s="73"/>
      <c r="L21" s="41"/>
    </row>
    <row r="22" spans="1:12" ht="6" customHeight="1">
      <c r="A22" s="66"/>
      <c r="B22" s="74"/>
      <c r="C22" s="75"/>
      <c r="D22" s="75"/>
      <c r="E22" s="75"/>
      <c r="F22" s="75"/>
      <c r="G22" s="75"/>
      <c r="H22" s="75"/>
      <c r="I22" s="75"/>
      <c r="J22" s="75"/>
      <c r="K22" s="76"/>
      <c r="L22" s="41"/>
    </row>
    <row r="23" spans="1:12" ht="15">
      <c r="A23" s="80" t="s">
        <v>671</v>
      </c>
      <c r="B23" s="81" t="s">
        <v>676</v>
      </c>
      <c r="C23" s="82" t="str">
        <f>IF(C31=0,"NA",C18/C31)</f>
        <v>NA</v>
      </c>
      <c r="D23" s="82">
        <f t="shared" ref="D23:I23" si="10">IF(D31=0,"NA",D18/D31)</f>
        <v>25.702400000000001</v>
      </c>
      <c r="E23" s="82">
        <f t="shared" si="10"/>
        <v>41.692962000000001</v>
      </c>
      <c r="F23" s="82">
        <f t="shared" si="10"/>
        <v>26.477352941176473</v>
      </c>
      <c r="G23" s="82">
        <f t="shared" si="10"/>
        <v>46.435980392156864</v>
      </c>
      <c r="H23" s="82">
        <f t="shared" si="10"/>
        <v>124.07592592592592</v>
      </c>
      <c r="I23" s="82">
        <f t="shared" si="10"/>
        <v>154.71527777777777</v>
      </c>
      <c r="J23" s="82">
        <f t="shared" ref="J23" si="11">IF(J31=0,"NA",J18/J31)</f>
        <v>201.3438888888889</v>
      </c>
      <c r="K23" s="73"/>
      <c r="L23" s="41"/>
    </row>
    <row r="24" spans="1:12" ht="15">
      <c r="A24" s="83" t="s">
        <v>672</v>
      </c>
      <c r="B24" s="84" t="s">
        <v>676</v>
      </c>
      <c r="C24" s="85" t="str">
        <f>IF(C31=0,"NA",C16/C31)</f>
        <v>NA</v>
      </c>
      <c r="D24" s="85">
        <f t="shared" ref="D24:J24" si="12">IF(D31=0,"NA",D16/D31)</f>
        <v>7.6063999999999963</v>
      </c>
      <c r="E24" s="85">
        <f t="shared" si="12"/>
        <v>13.817143999999995</v>
      </c>
      <c r="F24" s="85">
        <f t="shared" si="12"/>
        <v>6.3961764705882302</v>
      </c>
      <c r="G24" s="85">
        <f t="shared" si="12"/>
        <v>19.007058823529416</v>
      </c>
      <c r="H24" s="85">
        <f t="shared" si="12"/>
        <v>43.147499999999987</v>
      </c>
      <c r="I24" s="85">
        <f t="shared" si="12"/>
        <v>25.225925925925903</v>
      </c>
      <c r="J24" s="85">
        <f t="shared" si="12"/>
        <v>45.927222222222184</v>
      </c>
      <c r="K24" s="73"/>
      <c r="L24" s="41"/>
    </row>
    <row r="25" spans="1:12" ht="6" customHeight="1">
      <c r="A25" s="66"/>
      <c r="B25" s="74"/>
      <c r="C25" s="75"/>
      <c r="D25" s="75"/>
      <c r="E25" s="75"/>
      <c r="F25" s="75"/>
      <c r="G25" s="75"/>
      <c r="H25" s="75"/>
      <c r="I25" s="75"/>
      <c r="J25" s="75"/>
      <c r="K25" s="76"/>
      <c r="L25" s="41"/>
    </row>
    <row r="26" spans="1:12" ht="15">
      <c r="A26" s="71" t="s">
        <v>673</v>
      </c>
      <c r="B26" s="72" t="s">
        <v>677</v>
      </c>
      <c r="C26" s="33">
        <f>'CF BS'!C60</f>
        <v>16.81267628220246</v>
      </c>
      <c r="D26" s="33">
        <f>'CF BS'!D60</f>
        <v>-228.29770421682184</v>
      </c>
      <c r="E26" s="33">
        <f>'CF BS'!E60</f>
        <v>-14.024707036010913</v>
      </c>
      <c r="F26" s="33">
        <f>'CF BS'!F60</f>
        <v>61.086301386326632</v>
      </c>
      <c r="G26" s="33">
        <f>'CF BS'!G60</f>
        <v>-15.425782611612885</v>
      </c>
      <c r="H26" s="33">
        <f>'CF BS'!H60</f>
        <v>54.636368553304308</v>
      </c>
      <c r="I26" s="33">
        <f>'CF BS'!I60</f>
        <v>82.278071512277265</v>
      </c>
      <c r="J26" s="33">
        <f>'CF BS'!J60</f>
        <v>85.160368338476033</v>
      </c>
      <c r="K26" s="73"/>
      <c r="L26" s="41"/>
    </row>
    <row r="27" spans="1:12" ht="6" customHeight="1">
      <c r="A27" s="66"/>
      <c r="B27" s="74"/>
      <c r="C27" s="75"/>
      <c r="D27" s="75"/>
      <c r="E27" s="75"/>
      <c r="F27" s="75"/>
      <c r="G27" s="75"/>
      <c r="H27" s="75"/>
      <c r="I27" s="75"/>
      <c r="J27" s="75"/>
      <c r="K27" s="76"/>
      <c r="L27" s="41"/>
    </row>
    <row r="28" spans="1:12" ht="15">
      <c r="A28" s="86" t="s">
        <v>620</v>
      </c>
      <c r="B28" s="87" t="s">
        <v>678</v>
      </c>
      <c r="C28" s="50" t="str">
        <f>'CF BS'!C49</f>
        <v>NA</v>
      </c>
      <c r="D28" s="50">
        <f>'CF BS'!D49</f>
        <v>0.32306550978937509</v>
      </c>
      <c r="E28" s="50">
        <f>'CF BS'!E49</f>
        <v>0.32090635353314195</v>
      </c>
      <c r="F28" s="50">
        <f>'CF BS'!F49</f>
        <v>0.36232483128993753</v>
      </c>
      <c r="G28" s="50">
        <f>'CF BS'!G49</f>
        <v>0.68174985958281897</v>
      </c>
      <c r="H28" s="50">
        <f>'CF BS'!H49</f>
        <v>0.81227767781039861</v>
      </c>
      <c r="I28" s="50">
        <f>'CF BS'!I49</f>
        <v>0.30843028700916963</v>
      </c>
      <c r="J28" s="50">
        <f>'CF BS'!J49</f>
        <v>0.27390176745414524</v>
      </c>
      <c r="K28" s="96"/>
      <c r="L28" s="54"/>
    </row>
    <row r="29" spans="1:12" ht="15">
      <c r="A29" s="86" t="s">
        <v>621</v>
      </c>
      <c r="B29" s="87" t="s">
        <v>678</v>
      </c>
      <c r="C29" s="50" t="str">
        <f>'CF BS'!C50</f>
        <v>NA</v>
      </c>
      <c r="D29" s="50">
        <f>'CF BS'!D50</f>
        <v>0.44957739819138226</v>
      </c>
      <c r="E29" s="50">
        <f>'CF BS'!E50</f>
        <v>0.41003248858578711</v>
      </c>
      <c r="F29" s="50">
        <f>'CF BS'!F50</f>
        <v>0.3486014165509207</v>
      </c>
      <c r="G29" s="50">
        <f>'CF BS'!G50</f>
        <v>0.52136030420214174</v>
      </c>
      <c r="H29" s="50">
        <f>'CF BS'!H50</f>
        <v>0.51386831209918904</v>
      </c>
      <c r="I29" s="50">
        <f>'CF BS'!I50</f>
        <v>0.18096644076859578</v>
      </c>
      <c r="J29" s="50">
        <f>'CF BS'!J50</f>
        <v>0.25797522727574124</v>
      </c>
      <c r="K29" s="96"/>
      <c r="L29" s="54"/>
    </row>
    <row r="30" spans="1:12" ht="6" customHeight="1">
      <c r="A30" s="66"/>
      <c r="B30" s="74"/>
      <c r="C30" s="75"/>
      <c r="D30" s="75"/>
      <c r="E30" s="75"/>
      <c r="F30" s="75"/>
      <c r="G30" s="75"/>
      <c r="H30" s="75"/>
      <c r="I30" s="75"/>
      <c r="J30" s="75"/>
      <c r="K30" s="76"/>
      <c r="L30" s="41"/>
    </row>
    <row r="31" spans="1:12" ht="15">
      <c r="A31" s="71" t="s">
        <v>674</v>
      </c>
      <c r="B31" s="81" t="s">
        <v>680</v>
      </c>
      <c r="C31" s="82">
        <f>'CF BS'!C62</f>
        <v>0</v>
      </c>
      <c r="D31" s="82">
        <f>'CF BS'!D62</f>
        <v>2.5</v>
      </c>
      <c r="E31" s="82">
        <f>'CF BS'!E62</f>
        <v>2.5</v>
      </c>
      <c r="F31" s="82">
        <f>'CF BS'!F62</f>
        <v>10.199999999999999</v>
      </c>
      <c r="G31" s="82">
        <f>'CF BS'!G62</f>
        <v>10.199999999999999</v>
      </c>
      <c r="H31" s="82">
        <f>'CF BS'!H62</f>
        <v>10.8</v>
      </c>
      <c r="I31" s="82">
        <f>'CF BS'!I62</f>
        <v>10.8</v>
      </c>
      <c r="J31" s="82">
        <f>'CF BS'!J62</f>
        <v>10.8</v>
      </c>
      <c r="K31" s="88"/>
      <c r="L31" s="41"/>
    </row>
    <row r="32" spans="1:12" ht="15">
      <c r="A32" s="66" t="s">
        <v>594</v>
      </c>
      <c r="B32" s="89" t="s">
        <v>676</v>
      </c>
      <c r="C32" s="69">
        <v>65.0441</v>
      </c>
      <c r="D32" s="69">
        <v>69.171300000000002</v>
      </c>
      <c r="E32" s="69">
        <v>76.152199999999993</v>
      </c>
      <c r="F32" s="69">
        <v>73.5047</v>
      </c>
      <c r="G32" s="69">
        <v>75.807100000000005</v>
      </c>
      <c r="H32" s="69">
        <v>82.216899999999995</v>
      </c>
      <c r="I32" s="69">
        <v>83.373900000000006</v>
      </c>
      <c r="J32" s="69">
        <v>85.58</v>
      </c>
      <c r="K32" s="90"/>
      <c r="L32" s="41"/>
    </row>
    <row r="33" spans="1:12" ht="6" customHeight="1">
      <c r="A33" s="66"/>
      <c r="B33" s="89"/>
      <c r="C33" s="91"/>
      <c r="D33" s="92"/>
      <c r="E33" s="92"/>
      <c r="F33" s="92"/>
      <c r="G33" s="92"/>
      <c r="H33" s="92"/>
      <c r="I33" s="92"/>
      <c r="J33" s="92"/>
      <c r="K33" s="70"/>
      <c r="L33" s="41"/>
    </row>
    <row r="34" spans="1:12" ht="15">
      <c r="A34" s="1" t="s">
        <v>595</v>
      </c>
      <c r="B34" s="89"/>
      <c r="C34" s="91"/>
      <c r="D34" s="92"/>
      <c r="E34" s="92"/>
      <c r="F34" s="92"/>
      <c r="G34" s="92"/>
      <c r="H34" s="92"/>
      <c r="I34" s="92"/>
      <c r="J34" s="92"/>
      <c r="K34" s="70"/>
      <c r="L34" s="41"/>
    </row>
    <row r="35" spans="1:12" ht="6" customHeight="1">
      <c r="A35" s="55"/>
      <c r="B35" s="93"/>
      <c r="C35" s="94"/>
      <c r="D35" s="70"/>
      <c r="E35" s="70"/>
      <c r="F35" s="70"/>
      <c r="G35" s="70"/>
      <c r="H35" s="70"/>
      <c r="I35" s="70"/>
      <c r="J35" s="70"/>
      <c r="K35" s="70"/>
      <c r="L35" s="41"/>
    </row>
    <row r="36" spans="1:12" ht="15">
      <c r="A36" s="66"/>
      <c r="B36" s="95"/>
      <c r="L36" s="41"/>
    </row>
    <row r="37" spans="1:12">
      <c r="A37" s="55"/>
      <c r="L37" s="41"/>
    </row>
    <row r="38" spans="1:12">
      <c r="A38" s="55"/>
      <c r="B38" s="63"/>
    </row>
    <row r="39" spans="1:12">
      <c r="A39" s="55"/>
    </row>
    <row r="40" spans="1:12">
      <c r="A40" s="55"/>
    </row>
    <row r="41" spans="1:12">
      <c r="A41" s="55"/>
    </row>
    <row r="42" spans="1:12">
      <c r="A42" s="55"/>
    </row>
    <row r="43" spans="1:12">
      <c r="A43" s="55"/>
    </row>
    <row r="44" spans="1:12">
      <c r="A44" s="55"/>
    </row>
    <row r="45" spans="1:12">
      <c r="A45" s="55"/>
    </row>
    <row r="46" spans="1:12">
      <c r="A46" s="55"/>
    </row>
    <row r="47" spans="1:12">
      <c r="A47" s="55"/>
    </row>
    <row r="48" spans="1:12">
      <c r="A48" s="55"/>
    </row>
    <row r="49" spans="1:1">
      <c r="A49" s="55"/>
    </row>
    <row r="50" spans="1:1">
      <c r="A50" s="55"/>
    </row>
    <row r="51" spans="1:1">
      <c r="A51" s="55"/>
    </row>
    <row r="52" spans="1:1">
      <c r="A52" s="55"/>
    </row>
    <row r="53" spans="1:1">
      <c r="A53" s="55"/>
    </row>
    <row r="54" spans="1:1">
      <c r="A54" s="55"/>
    </row>
    <row r="55" spans="1:1">
      <c r="A55" s="55"/>
    </row>
    <row r="56" spans="1:1">
      <c r="A56" s="55"/>
    </row>
    <row r="57" spans="1:1">
      <c r="A57" s="55"/>
    </row>
    <row r="58" spans="1:1">
      <c r="A58" s="55"/>
    </row>
    <row r="59" spans="1:1">
      <c r="A59" s="55"/>
    </row>
    <row r="60" spans="1:1">
      <c r="A60" s="55"/>
    </row>
    <row r="61" spans="1:1">
      <c r="A61" s="55"/>
    </row>
    <row r="62" spans="1:1">
      <c r="A62" s="55"/>
    </row>
    <row r="63" spans="1:1">
      <c r="A63" s="55"/>
    </row>
    <row r="64" spans="1:1">
      <c r="A64" s="55"/>
    </row>
    <row r="65" spans="1:1">
      <c r="A65" s="55"/>
    </row>
    <row r="66" spans="1:1">
      <c r="A66" s="55"/>
    </row>
    <row r="67" spans="1:1">
      <c r="A67" s="55"/>
    </row>
    <row r="68" spans="1:1">
      <c r="A68" s="55"/>
    </row>
    <row r="69" spans="1:1">
      <c r="A69" s="55"/>
    </row>
    <row r="70" spans="1:1">
      <c r="A70" s="55"/>
    </row>
    <row r="71" spans="1:1">
      <c r="A71" s="55"/>
    </row>
    <row r="72" spans="1:1">
      <c r="A72" s="55"/>
    </row>
    <row r="73" spans="1:1">
      <c r="A73" s="55"/>
    </row>
    <row r="74" spans="1:1">
      <c r="A74" s="55"/>
    </row>
    <row r="75" spans="1:1">
      <c r="A75" s="55"/>
    </row>
    <row r="76" spans="1:1">
      <c r="A76" s="55"/>
    </row>
    <row r="77" spans="1:1">
      <c r="A77" s="55"/>
    </row>
    <row r="78" spans="1:1">
      <c r="A78" s="55"/>
    </row>
    <row r="79" spans="1:1">
      <c r="A79" s="55"/>
    </row>
    <row r="80" spans="1:1">
      <c r="A80" s="55"/>
    </row>
    <row r="81" spans="1:1">
      <c r="A81" s="55"/>
    </row>
    <row r="82" spans="1:1">
      <c r="A82" s="55"/>
    </row>
    <row r="83" spans="1:1">
      <c r="A83" s="55"/>
    </row>
    <row r="84" spans="1:1">
      <c r="A84" s="55"/>
    </row>
    <row r="85" spans="1:1">
      <c r="A85" s="55"/>
    </row>
    <row r="86" spans="1:1">
      <c r="A86" s="55"/>
    </row>
    <row r="87" spans="1:1">
      <c r="A87" s="55"/>
    </row>
    <row r="88" spans="1:1">
      <c r="A88" s="55"/>
    </row>
    <row r="89" spans="1:1">
      <c r="A89" s="55"/>
    </row>
    <row r="90" spans="1:1">
      <c r="A90" s="55"/>
    </row>
    <row r="91" spans="1:1">
      <c r="A91" s="55"/>
    </row>
    <row r="92" spans="1:1">
      <c r="A92" s="55"/>
    </row>
    <row r="93" spans="1:1">
      <c r="A93" s="55"/>
    </row>
    <row r="94" spans="1:1">
      <c r="A94" s="55"/>
    </row>
    <row r="95" spans="1:1">
      <c r="A95" s="55"/>
    </row>
    <row r="96" spans="1:1">
      <c r="A96" s="55"/>
    </row>
    <row r="97" spans="1:1">
      <c r="A97" s="55"/>
    </row>
    <row r="98" spans="1:1">
      <c r="A98" s="55"/>
    </row>
    <row r="99" spans="1:1">
      <c r="A99" s="55"/>
    </row>
    <row r="100" spans="1:1">
      <c r="A100" s="55"/>
    </row>
    <row r="101" spans="1:1">
      <c r="A101" s="55"/>
    </row>
  </sheetData>
  <printOptions horizontalCentered="1"/>
  <pageMargins left="0.196850393700787" right="0.196850393700787" top="0.196850393700787" bottom="0.196850393700787" header="0.11811023622047198" footer="0.11811023622047198"/>
  <pageSetup paperSize="9" scale="98" fitToHeight="0" orientation="landscape" cellComments="atEnd" r:id="rId1"/>
  <headerFooter>
    <oddFooter>&amp;CPage &amp;P of &amp;N&amp;R&amp;D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E6E0-F2DA-437A-8E1F-6A7F5027DDCD}">
  <sheetPr>
    <pageSetUpPr fitToPage="1"/>
  </sheetPr>
  <dimension ref="B1:M64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/>
  <cols>
    <col min="1" max="1" width="0.875" customWidth="1"/>
    <col min="2" max="2" width="47.375" bestFit="1" customWidth="1"/>
    <col min="3" max="10" width="9.625" customWidth="1"/>
    <col min="11" max="11" width="2.625" customWidth="1"/>
    <col min="12" max="13" width="9.625" customWidth="1"/>
  </cols>
  <sheetData>
    <row r="1" spans="2:13" ht="15">
      <c r="B1" s="12" t="str">
        <f>+Cover!B3</f>
        <v>Knowledge Marine &amp; Engineering Works Ltd.</v>
      </c>
    </row>
    <row r="3" spans="2:13" ht="15">
      <c r="B3" s="13" t="s">
        <v>633</v>
      </c>
      <c r="C3" s="47"/>
      <c r="D3" s="47"/>
      <c r="E3" s="47"/>
      <c r="F3" s="47"/>
      <c r="G3" s="47"/>
      <c r="H3" s="47"/>
      <c r="I3" s="47"/>
      <c r="J3" s="47"/>
    </row>
    <row r="4" spans="2:13" ht="15">
      <c r="B4" s="9" t="s">
        <v>27</v>
      </c>
      <c r="C4" s="9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683</v>
      </c>
      <c r="K4" s="36"/>
      <c r="L4" s="36"/>
      <c r="M4" s="36"/>
    </row>
    <row r="5" spans="2:13" ht="15">
      <c r="B5" s="8"/>
      <c r="C5" s="10" t="str">
        <f>'Working capital'!C5</f>
        <v>Consolidated</v>
      </c>
      <c r="D5" s="10" t="str">
        <f>'Working capital'!D5</f>
        <v>Consolidated</v>
      </c>
      <c r="E5" s="10" t="str">
        <f>'Working capital'!E5</f>
        <v>Consolidated</v>
      </c>
      <c r="F5" s="10" t="str">
        <f>'Working capital'!F5</f>
        <v>Consolidated</v>
      </c>
      <c r="G5" s="10" t="str">
        <f>'Working capital'!G5</f>
        <v>Consolidated</v>
      </c>
      <c r="H5" s="10" t="str">
        <f>'Working capital'!H5</f>
        <v>Consolidated</v>
      </c>
      <c r="I5" s="10" t="str">
        <f>'Working capital'!I5</f>
        <v>Consolidated</v>
      </c>
      <c r="J5" s="10" t="str">
        <f>I5</f>
        <v>Consolidated</v>
      </c>
    </row>
    <row r="6" spans="2:13" ht="15">
      <c r="B6" s="32" t="s">
        <v>548</v>
      </c>
      <c r="C6" s="33">
        <f>'Equity &amp; reserves'!C20</f>
        <v>0.1</v>
      </c>
      <c r="D6" s="33">
        <f>'Equity &amp; reserves'!D20</f>
        <v>25</v>
      </c>
      <c r="E6" s="33">
        <f>'Equity &amp; reserves'!E20</f>
        <v>25</v>
      </c>
      <c r="F6" s="33">
        <f>'Equity &amp; reserves'!F20</f>
        <v>102.36</v>
      </c>
      <c r="G6" s="33">
        <f>'Equity &amp; reserves'!G20</f>
        <v>102.36</v>
      </c>
      <c r="H6" s="33">
        <f>'Equity &amp; reserves'!H20</f>
        <v>108.01</v>
      </c>
      <c r="I6" s="33">
        <f>'Equity &amp; reserves'!I20</f>
        <v>108.01</v>
      </c>
      <c r="J6" s="16">
        <v>108.00999999999999</v>
      </c>
      <c r="K6" s="4"/>
    </row>
    <row r="7" spans="2:13" ht="15">
      <c r="B7" s="32" t="s">
        <v>602</v>
      </c>
      <c r="C7" s="33">
        <f>'Equity &amp; reserves'!C22</f>
        <v>0</v>
      </c>
      <c r="D7" s="33">
        <f>'Equity &amp; reserves'!D22</f>
        <v>0</v>
      </c>
      <c r="E7" s="33">
        <f>'Equity &amp; reserves'!E22</f>
        <v>0</v>
      </c>
      <c r="F7" s="33">
        <f>'Equity &amp; reserves'!F22</f>
        <v>0</v>
      </c>
      <c r="G7" s="33">
        <f>'Equity &amp; reserves'!G22</f>
        <v>0</v>
      </c>
      <c r="H7" s="33">
        <f>'Equity &amp; reserves'!H22</f>
        <v>0</v>
      </c>
      <c r="I7" s="33">
        <f>'Equity &amp; reserves'!I22</f>
        <v>0</v>
      </c>
      <c r="J7" s="33">
        <f>'Equity &amp; reserves'!J22</f>
        <v>0</v>
      </c>
      <c r="K7" s="4"/>
    </row>
    <row r="8" spans="2:13" ht="15">
      <c r="B8" s="32" t="s">
        <v>575</v>
      </c>
      <c r="C8" s="33">
        <f>'Equity &amp; reserves'!C50</f>
        <v>0</v>
      </c>
      <c r="D8" s="33">
        <f>'Equity &amp; reserves'!D50</f>
        <v>0</v>
      </c>
      <c r="E8" s="33">
        <f>'Equity &amp; reserves'!E50</f>
        <v>0</v>
      </c>
      <c r="F8" s="33">
        <f>'Equity &amp; reserves'!F50</f>
        <v>0</v>
      </c>
      <c r="G8" s="33">
        <f>'Equity &amp; reserves'!G50</f>
        <v>0</v>
      </c>
      <c r="H8" s="33">
        <f>'Equity &amp; reserves'!H50</f>
        <v>0</v>
      </c>
      <c r="I8" s="33">
        <f>'Equity &amp; reserves'!I50</f>
        <v>0</v>
      </c>
      <c r="J8" s="33">
        <f>'Equity &amp; reserves'!J50</f>
        <v>0</v>
      </c>
      <c r="K8" s="4"/>
    </row>
    <row r="9" spans="2:13" ht="15">
      <c r="B9" s="32" t="s">
        <v>603</v>
      </c>
      <c r="C9" s="37">
        <f>'Equity &amp; reserves'!C47</f>
        <v>20.239000000000001</v>
      </c>
      <c r="D9" s="37">
        <f>'Equity &amp; reserves'!D47</f>
        <v>39.256</v>
      </c>
      <c r="E9" s="37">
        <f>'Equity &amp; reserves'!E47</f>
        <v>79.232405</v>
      </c>
      <c r="F9" s="37">
        <f>'Equity &amp; reserves'!F47</f>
        <v>167.709</v>
      </c>
      <c r="G9" s="37">
        <f>'Equity &amp; reserves'!G47</f>
        <v>371.28699999999998</v>
      </c>
      <c r="H9" s="37">
        <f>'Equity &amp; reserves'!H47</f>
        <v>1232.01</v>
      </c>
      <c r="I9" s="37">
        <f>'Equity &amp; reserves'!I47</f>
        <v>1562.915</v>
      </c>
      <c r="J9" s="2">
        <v>2066.5039999999999</v>
      </c>
      <c r="K9" s="4"/>
    </row>
    <row r="10" spans="2:13" ht="15">
      <c r="B10" s="17" t="s">
        <v>604</v>
      </c>
      <c r="C10" s="18">
        <f>SUM(C6:C9)</f>
        <v>20.339000000000002</v>
      </c>
      <c r="D10" s="18">
        <f t="shared" ref="D10:I10" si="0">SUM(D6:D9)</f>
        <v>64.256</v>
      </c>
      <c r="E10" s="18">
        <f t="shared" si="0"/>
        <v>104.232405</v>
      </c>
      <c r="F10" s="18">
        <f t="shared" si="0"/>
        <v>270.06900000000002</v>
      </c>
      <c r="G10" s="18">
        <f t="shared" si="0"/>
        <v>473.64699999999999</v>
      </c>
      <c r="H10" s="18">
        <f t="shared" si="0"/>
        <v>1340.02</v>
      </c>
      <c r="I10" s="18">
        <f t="shared" si="0"/>
        <v>1670.925</v>
      </c>
      <c r="J10" s="18">
        <f t="shared" ref="J10" si="1">SUM(J6:J9)</f>
        <v>2174.5140000000001</v>
      </c>
      <c r="K10" s="38"/>
      <c r="L10" s="36"/>
      <c r="M10" s="36"/>
    </row>
    <row r="11" spans="2:13" ht="6" customHeight="1">
      <c r="B11" s="15"/>
      <c r="C11" s="16"/>
      <c r="D11" s="16"/>
      <c r="E11" s="16"/>
      <c r="F11" s="16"/>
      <c r="G11" s="16"/>
      <c r="H11" s="16"/>
      <c r="I11" s="16"/>
      <c r="J11" s="16"/>
    </row>
    <row r="12" spans="2:13" ht="15">
      <c r="B12" s="32" t="s">
        <v>222</v>
      </c>
      <c r="C12" s="33">
        <f>'Equity &amp; reserves'!C55</f>
        <v>8.7319999999999993</v>
      </c>
      <c r="D12" s="33">
        <f>'Equity &amp; reserves'!D55</f>
        <v>16.806999999999999</v>
      </c>
      <c r="E12" s="33">
        <f>'Equity &amp; reserves'!E55</f>
        <v>19.425947000000001</v>
      </c>
      <c r="F12" s="33">
        <f>'Equity &amp; reserves'!F55</f>
        <v>19.141999999999999</v>
      </c>
      <c r="G12" s="33">
        <f>'Equity &amp; reserves'!G55</f>
        <v>24.242000000000001</v>
      </c>
      <c r="H12" s="33">
        <f>'Equity &amp; reserves'!H55</f>
        <v>26.189</v>
      </c>
      <c r="I12" s="33">
        <f>'Equity &amp; reserves'!I55</f>
        <v>25.643999999999998</v>
      </c>
      <c r="J12" s="16">
        <v>24.341000000000001</v>
      </c>
      <c r="K12" s="4"/>
    </row>
    <row r="13" spans="2:13" ht="6" customHeight="1">
      <c r="B13" s="15"/>
      <c r="C13" s="16"/>
      <c r="D13" s="16"/>
      <c r="E13" s="16"/>
      <c r="F13" s="16"/>
      <c r="G13" s="16"/>
      <c r="H13" s="16"/>
      <c r="I13" s="16"/>
      <c r="J13" s="16"/>
    </row>
    <row r="14" spans="2:13" ht="15">
      <c r="B14" s="32" t="s">
        <v>496</v>
      </c>
      <c r="C14" s="33">
        <f>Borrowings!C76</f>
        <v>43.146000000000001</v>
      </c>
      <c r="D14" s="33">
        <f>Borrowings!D76</f>
        <v>74.085999999999999</v>
      </c>
      <c r="E14" s="33">
        <f>Borrowings!E76</f>
        <v>110.39247800000001</v>
      </c>
      <c r="F14" s="33">
        <f>Borrowings!F76</f>
        <v>116.35299999999999</v>
      </c>
      <c r="G14" s="33">
        <f>Borrowings!G76</f>
        <v>171.75800000000001</v>
      </c>
      <c r="H14" s="33">
        <f>Borrowings!H76</f>
        <v>42.058</v>
      </c>
      <c r="I14" s="33">
        <f>Borrowings!I76</f>
        <v>417.48</v>
      </c>
      <c r="J14" s="16">
        <v>675.69100000000003</v>
      </c>
      <c r="K14" s="4"/>
    </row>
    <row r="15" spans="2:13" ht="15">
      <c r="B15" s="32" t="s">
        <v>528</v>
      </c>
      <c r="C15" s="37">
        <f>Borrowings!C124</f>
        <v>26.061</v>
      </c>
      <c r="D15" s="37">
        <f>Borrowings!D124</f>
        <v>39.549999999999997</v>
      </c>
      <c r="E15" s="37">
        <f>Borrowings!E124</f>
        <v>50.946569999999994</v>
      </c>
      <c r="F15" s="37">
        <f>Borrowings!F124</f>
        <v>53.082999999999998</v>
      </c>
      <c r="G15" s="37">
        <f>Borrowings!G124</f>
        <v>92.230999999999995</v>
      </c>
      <c r="H15" s="37">
        <f>Borrowings!H124</f>
        <v>199.3</v>
      </c>
      <c r="I15" s="37">
        <f>Borrowings!I124</f>
        <v>184.46799999999999</v>
      </c>
      <c r="J15" s="2">
        <v>659.10900000000004</v>
      </c>
      <c r="K15" s="4"/>
    </row>
    <row r="16" spans="2:13" ht="15">
      <c r="B16" s="17" t="s">
        <v>533</v>
      </c>
      <c r="C16" s="18">
        <f>SUM(C14:C15)</f>
        <v>69.206999999999994</v>
      </c>
      <c r="D16" s="18">
        <f t="shared" ref="D16:I16" si="2">SUM(D14:D15)</f>
        <v>113.636</v>
      </c>
      <c r="E16" s="18">
        <f t="shared" si="2"/>
        <v>161.33904799999999</v>
      </c>
      <c r="F16" s="18">
        <f t="shared" si="2"/>
        <v>169.43599999999998</v>
      </c>
      <c r="G16" s="18">
        <f t="shared" si="2"/>
        <v>263.98900000000003</v>
      </c>
      <c r="H16" s="18">
        <f t="shared" si="2"/>
        <v>241.358</v>
      </c>
      <c r="I16" s="18">
        <f t="shared" si="2"/>
        <v>601.94799999999998</v>
      </c>
      <c r="J16" s="18">
        <f t="shared" ref="J16" si="3">SUM(J14:J15)</f>
        <v>1334.8000000000002</v>
      </c>
      <c r="K16" s="38"/>
      <c r="L16" s="36"/>
      <c r="M16" s="36"/>
    </row>
    <row r="17" spans="2:13" ht="6" customHeight="1">
      <c r="B17" s="15"/>
      <c r="C17" s="16"/>
      <c r="D17" s="16"/>
      <c r="E17" s="16"/>
      <c r="F17" s="16"/>
      <c r="G17" s="16"/>
      <c r="H17" s="16"/>
      <c r="I17" s="16"/>
      <c r="J17" s="16"/>
    </row>
    <row r="18" spans="2:13" ht="15">
      <c r="B18" s="32" t="s">
        <v>605</v>
      </c>
      <c r="C18" s="33">
        <f>'Working capital'!C15</f>
        <v>8.2029999999999994</v>
      </c>
      <c r="D18" s="33">
        <f>'Working capital'!D15</f>
        <v>71.465999999999994</v>
      </c>
      <c r="E18" s="33">
        <f>'Working capital'!E15</f>
        <v>25.932756999999999</v>
      </c>
      <c r="F18" s="33">
        <f>'Working capital'!F15</f>
        <v>4.9779999999999998</v>
      </c>
      <c r="G18" s="33">
        <f>'Working capital'!G15</f>
        <v>61.682000000000002</v>
      </c>
      <c r="H18" s="33">
        <f>'Working capital'!H15</f>
        <v>261.048</v>
      </c>
      <c r="I18" s="33">
        <f>'Working capital'!I15</f>
        <v>121.705</v>
      </c>
      <c r="J18" s="16">
        <v>229.834</v>
      </c>
      <c r="K18" s="4"/>
    </row>
    <row r="19" spans="2:13" ht="15">
      <c r="B19" s="32" t="s">
        <v>606</v>
      </c>
      <c r="C19" s="33">
        <f>'Working capital'!C25</f>
        <v>11.306000000000001</v>
      </c>
      <c r="D19" s="33">
        <f>'Working capital'!D25</f>
        <v>10.599</v>
      </c>
      <c r="E19" s="33">
        <f>'Working capital'!E25</f>
        <v>13.539071</v>
      </c>
      <c r="F19" s="33">
        <f>'Working capital'!F25</f>
        <v>22.422000000000001</v>
      </c>
      <c r="G19" s="33">
        <f>'Working capital'!G25</f>
        <v>67.878</v>
      </c>
      <c r="H19" s="33">
        <f>'Working capital'!H25</f>
        <v>153.87199999999999</v>
      </c>
      <c r="I19" s="33">
        <f>'Working capital'!I25</f>
        <v>94.316000000000003</v>
      </c>
      <c r="J19" s="16">
        <f>(28+315.38)/10</f>
        <v>34.338000000000001</v>
      </c>
      <c r="K19" s="4"/>
    </row>
    <row r="20" spans="2:13" ht="15">
      <c r="B20" s="32" t="s">
        <v>607</v>
      </c>
      <c r="C20" s="33">
        <f>'Working capital'!C20</f>
        <v>0</v>
      </c>
      <c r="D20" s="33">
        <f>'Working capital'!D20</f>
        <v>0</v>
      </c>
      <c r="E20" s="33">
        <f>'Working capital'!E20</f>
        <v>21.121721999999998</v>
      </c>
      <c r="F20" s="33">
        <f>'Working capital'!F20</f>
        <v>2.448</v>
      </c>
      <c r="G20" s="33">
        <f>'Working capital'!G20</f>
        <v>13.904</v>
      </c>
      <c r="H20" s="33">
        <f>'Working capital'!H20</f>
        <v>21.124000000000002</v>
      </c>
      <c r="I20" s="33">
        <f>'Working capital'!I20</f>
        <v>13.073</v>
      </c>
      <c r="J20" s="16">
        <v>106.89100000000001</v>
      </c>
      <c r="K20" s="4"/>
    </row>
    <row r="21" spans="2:13" ht="15">
      <c r="B21" s="32" t="s">
        <v>608</v>
      </c>
      <c r="C21" s="33">
        <f>'Other liabilities'!C27</f>
        <v>3.7130000000000001</v>
      </c>
      <c r="D21" s="33">
        <f>'Other liabilities'!D27</f>
        <v>3.6710000000000003</v>
      </c>
      <c r="E21" s="33">
        <f>'Other liabilities'!E27</f>
        <v>9.4731170000000002</v>
      </c>
      <c r="F21" s="33">
        <f>'Other liabilities'!F27</f>
        <v>21.39</v>
      </c>
      <c r="G21" s="33">
        <f>'Other liabilities'!G27</f>
        <v>30.527999999999999</v>
      </c>
      <c r="H21" s="33">
        <f>'Other liabilities'!H27</f>
        <v>43.610999999999997</v>
      </c>
      <c r="I21" s="33">
        <f>'Other liabilities'!I27</f>
        <v>55.338000000000001</v>
      </c>
      <c r="J21" s="16">
        <v>82.554999999999993</v>
      </c>
      <c r="K21" s="4"/>
    </row>
    <row r="22" spans="2:13" ht="15">
      <c r="B22" s="32" t="s">
        <v>609</v>
      </c>
      <c r="C22" s="37">
        <f>'Other liabilities'!C53</f>
        <v>19.428999999999998</v>
      </c>
      <c r="D22" s="37">
        <f>'Other liabilities'!D53</f>
        <v>19.010000000000002</v>
      </c>
      <c r="E22" s="37">
        <f>'Other liabilities'!E53</f>
        <v>0</v>
      </c>
      <c r="F22" s="37">
        <f>'Other liabilities'!F53</f>
        <v>0.47299999999999998</v>
      </c>
      <c r="G22" s="37">
        <f>'Other liabilities'!G53</f>
        <v>0.92600000000000005</v>
      </c>
      <c r="H22" s="37">
        <f>'Other liabilities'!H53</f>
        <v>1.6160000000000001</v>
      </c>
      <c r="I22" s="37">
        <f>'Other liabilities'!I53</f>
        <v>2.1120000000000001</v>
      </c>
      <c r="J22" s="37">
        <f>'Other liabilities'!J53</f>
        <v>0</v>
      </c>
      <c r="K22" s="4"/>
    </row>
    <row r="23" spans="2:13" ht="15">
      <c r="B23" s="17" t="s">
        <v>610</v>
      </c>
      <c r="C23" s="18">
        <f>SUM(C18:C22)</f>
        <v>42.650999999999996</v>
      </c>
      <c r="D23" s="18">
        <f t="shared" ref="D23:I23" si="4">SUM(D18:D22)</f>
        <v>104.74600000000001</v>
      </c>
      <c r="E23" s="18">
        <f t="shared" si="4"/>
        <v>70.066666999999995</v>
      </c>
      <c r="F23" s="18">
        <f t="shared" si="4"/>
        <v>51.710999999999999</v>
      </c>
      <c r="G23" s="18">
        <f t="shared" si="4"/>
        <v>174.91799999999998</v>
      </c>
      <c r="H23" s="18">
        <f t="shared" si="4"/>
        <v>481.27099999999996</v>
      </c>
      <c r="I23" s="18">
        <f t="shared" si="4"/>
        <v>286.54400000000004</v>
      </c>
      <c r="J23" s="18">
        <f t="shared" ref="J23" si="5">SUM(J18:J22)</f>
        <v>453.61800000000005</v>
      </c>
      <c r="K23" s="38"/>
      <c r="L23" s="36"/>
      <c r="M23" s="36"/>
    </row>
    <row r="24" spans="2:13" ht="6" customHeight="1">
      <c r="B24" s="15"/>
      <c r="C24" s="2"/>
      <c r="D24" s="2"/>
      <c r="E24" s="2"/>
      <c r="F24" s="2"/>
      <c r="G24" s="2"/>
      <c r="H24" s="2"/>
      <c r="I24" s="2"/>
      <c r="J24" s="2"/>
    </row>
    <row r="25" spans="2:13" ht="15.75" thickBot="1">
      <c r="B25" s="17" t="s">
        <v>611</v>
      </c>
      <c r="C25" s="6">
        <f>C10+C12+C16+C23</f>
        <v>140.92899999999997</v>
      </c>
      <c r="D25" s="6">
        <f t="shared" ref="D25:I25" si="6">D10+D12+D16+D23</f>
        <v>299.44500000000005</v>
      </c>
      <c r="E25" s="6">
        <f t="shared" si="6"/>
        <v>355.06406699999997</v>
      </c>
      <c r="F25" s="6">
        <f t="shared" si="6"/>
        <v>510.358</v>
      </c>
      <c r="G25" s="6">
        <f t="shared" si="6"/>
        <v>936.79600000000005</v>
      </c>
      <c r="H25" s="6">
        <f t="shared" si="6"/>
        <v>2088.8379999999997</v>
      </c>
      <c r="I25" s="6">
        <f t="shared" si="6"/>
        <v>2585.0609999999997</v>
      </c>
      <c r="J25" s="6">
        <f t="shared" ref="J25" si="7">J10+J12+J16+J23</f>
        <v>3987.2730000000001</v>
      </c>
      <c r="K25" s="38"/>
      <c r="L25" s="36"/>
      <c r="M25" s="36"/>
    </row>
    <row r="26" spans="2:13" ht="6" customHeight="1" thickTop="1">
      <c r="B26" s="15"/>
      <c r="C26" s="16"/>
      <c r="D26" s="16"/>
      <c r="E26" s="16"/>
      <c r="F26" s="16"/>
      <c r="G26" s="16"/>
      <c r="H26" s="16"/>
      <c r="I26" s="16"/>
      <c r="J26" s="16"/>
    </row>
    <row r="27" spans="2:13" ht="15">
      <c r="B27" s="27" t="s">
        <v>612</v>
      </c>
      <c r="C27" s="28"/>
      <c r="D27" s="28"/>
      <c r="E27" s="28"/>
      <c r="F27" s="28"/>
      <c r="G27" s="28"/>
      <c r="H27" s="28"/>
      <c r="I27" s="28"/>
      <c r="J27" s="28"/>
      <c r="K27" s="36"/>
      <c r="L27" s="36"/>
      <c r="M27" s="36"/>
    </row>
    <row r="28" spans="2:13" ht="15">
      <c r="B28" s="32" t="s">
        <v>613</v>
      </c>
      <c r="C28" s="33">
        <f>PPE!C16</f>
        <v>116.68</v>
      </c>
      <c r="D28" s="33">
        <f>PPE!D16</f>
        <v>136.21099999999998</v>
      </c>
      <c r="E28" s="33">
        <f>PPE!E16</f>
        <v>297.29130899999996</v>
      </c>
      <c r="F28" s="33">
        <f>PPE!F16</f>
        <v>322.608</v>
      </c>
      <c r="G28" s="33">
        <f>PPE!G16</f>
        <v>595.30899999999986</v>
      </c>
      <c r="H28" s="33">
        <f>PPE!H16</f>
        <v>701.44999999999993</v>
      </c>
      <c r="I28" s="33">
        <f>PPE!I16</f>
        <v>1240.741</v>
      </c>
      <c r="J28" s="33">
        <f>PPE!J16</f>
        <v>0</v>
      </c>
      <c r="K28" s="4"/>
    </row>
    <row r="29" spans="2:13" ht="15">
      <c r="B29" s="32" t="s">
        <v>614</v>
      </c>
      <c r="C29" s="37">
        <f>(PPE!C28+PPE!C30)</f>
        <v>-3.1130000000000004</v>
      </c>
      <c r="D29" s="37">
        <f>(PPE!D28+PPE!D30)</f>
        <v>-14.251999999999999</v>
      </c>
      <c r="E29" s="37">
        <f>(PPE!E28+PPE!E30)</f>
        <v>-24.570999999999998</v>
      </c>
      <c r="F29" s="37">
        <f>(PPE!F28+PPE!F30)</f>
        <v>-44.998000000000005</v>
      </c>
      <c r="G29" s="37">
        <f>(PPE!G28+PPE!G30)</f>
        <v>-69.55</v>
      </c>
      <c r="H29" s="37">
        <f>(PPE!H28+PPE!H30)</f>
        <v>-113.145</v>
      </c>
      <c r="I29" s="37">
        <f>(PPE!I28+PPE!I30)</f>
        <v>-173.898</v>
      </c>
      <c r="J29" s="37">
        <f>(PPE!J28+PPE!J30)</f>
        <v>0</v>
      </c>
      <c r="K29" s="4"/>
    </row>
    <row r="30" spans="2:13" ht="15">
      <c r="B30" s="17" t="s">
        <v>615</v>
      </c>
      <c r="C30" s="18">
        <f>SUM(C28:C29)</f>
        <v>113.56700000000001</v>
      </c>
      <c r="D30" s="18">
        <f t="shared" ref="D30:I30" si="8">SUM(D28:D29)</f>
        <v>121.95899999999999</v>
      </c>
      <c r="E30" s="18">
        <f t="shared" si="8"/>
        <v>272.72030899999993</v>
      </c>
      <c r="F30" s="18">
        <f t="shared" si="8"/>
        <v>277.61</v>
      </c>
      <c r="G30" s="18">
        <f t="shared" si="8"/>
        <v>525.7589999999999</v>
      </c>
      <c r="H30" s="18">
        <f t="shared" si="8"/>
        <v>588.30499999999995</v>
      </c>
      <c r="I30" s="18">
        <f t="shared" si="8"/>
        <v>1066.8430000000001</v>
      </c>
      <c r="J30" s="16">
        <f>(15926.31+0.09+2.24)/10</f>
        <v>1592.864</v>
      </c>
      <c r="K30" s="38"/>
      <c r="L30" s="36"/>
      <c r="M30" s="36"/>
    </row>
    <row r="31" spans="2:13" ht="6" customHeight="1">
      <c r="B31" s="15"/>
      <c r="C31" s="16"/>
      <c r="D31" s="16"/>
      <c r="E31" s="16"/>
      <c r="F31" s="16"/>
      <c r="G31" s="16"/>
      <c r="H31" s="16"/>
      <c r="I31" s="16"/>
      <c r="J31" s="16"/>
    </row>
    <row r="32" spans="2:13" ht="15">
      <c r="B32" s="32" t="s">
        <v>355</v>
      </c>
      <c r="C32" s="33">
        <f>SUM(PPE!C44:C48)</f>
        <v>0</v>
      </c>
      <c r="D32" s="33">
        <f>SUM(PPE!D44:D48)</f>
        <v>75.286000000000001</v>
      </c>
      <c r="E32" s="33">
        <f>SUM(PPE!E44:E48)</f>
        <v>0</v>
      </c>
      <c r="F32" s="33">
        <f>SUM(PPE!F44:F48)</f>
        <v>28.536000000000001</v>
      </c>
      <c r="G32" s="33">
        <f>SUM(PPE!G44:G48)</f>
        <v>18.079999999999998</v>
      </c>
      <c r="H32" s="33">
        <f>SUM(PPE!H44:H48)</f>
        <v>80.984999999999999</v>
      </c>
      <c r="I32" s="33">
        <f>SUM(PPE!I44:I48)</f>
        <v>120.383</v>
      </c>
      <c r="J32" s="16">
        <v>501.53999999999996</v>
      </c>
      <c r="K32" s="4"/>
    </row>
    <row r="33" spans="2:13" ht="15">
      <c r="B33" s="32" t="s">
        <v>367</v>
      </c>
      <c r="C33" s="33">
        <f>'Other assets'!C35</f>
        <v>0.79800000000000004</v>
      </c>
      <c r="D33" s="33">
        <f>'Other assets'!D35</f>
        <v>11.059999999999999</v>
      </c>
      <c r="E33" s="33">
        <f>'Other assets'!E35</f>
        <v>14.723732999999999</v>
      </c>
      <c r="F33" s="33">
        <f>'Other assets'!F35</f>
        <v>2.7639999999999998</v>
      </c>
      <c r="G33" s="33">
        <f>'Other assets'!G35</f>
        <v>29.577000000000002</v>
      </c>
      <c r="H33" s="33">
        <f>'Other assets'!H35</f>
        <v>113.05500000000001</v>
      </c>
      <c r="I33" s="33">
        <f>'Other assets'!I35</f>
        <v>294.00099999999998</v>
      </c>
      <c r="J33" s="16">
        <v>603.44799999999998</v>
      </c>
      <c r="K33" s="4"/>
    </row>
    <row r="34" spans="2:13" ht="15">
      <c r="B34" s="32" t="s">
        <v>616</v>
      </c>
      <c r="C34" s="33">
        <f>'Other assets'!C47+'Other assets'!C57+'Other assets'!C81</f>
        <v>0.41899999999999998</v>
      </c>
      <c r="D34" s="33">
        <f>'Other assets'!D47+'Other assets'!D57+'Other assets'!D81</f>
        <v>0.96699999999999997</v>
      </c>
      <c r="E34" s="33">
        <f>'Other assets'!E47+'Other assets'!E57+'Other assets'!E81</f>
        <v>0</v>
      </c>
      <c r="F34" s="33">
        <f>'Other assets'!F47+'Other assets'!F57+'Other assets'!F81</f>
        <v>0</v>
      </c>
      <c r="G34" s="33">
        <f>'Other assets'!G47+'Other assets'!G57+'Other assets'!G81</f>
        <v>20.05</v>
      </c>
      <c r="H34" s="33">
        <f>'Other assets'!H47+'Other assets'!H57+'Other assets'!H81</f>
        <v>8.8780000000000001</v>
      </c>
      <c r="I34" s="33">
        <f>'Other assets'!I47+'Other assets'!I57+'Other assets'!I81</f>
        <v>0</v>
      </c>
      <c r="J34" s="16">
        <f>(2.86+0.58+0.02)/10</f>
        <v>0.34599999999999997</v>
      </c>
      <c r="K34" s="4"/>
    </row>
    <row r="35" spans="2:13" ht="15">
      <c r="B35" s="32" t="s">
        <v>282</v>
      </c>
      <c r="C35" s="33">
        <f>'Working capital'!C28</f>
        <v>0</v>
      </c>
      <c r="D35" s="33">
        <f>'Working capital'!D28</f>
        <v>0</v>
      </c>
      <c r="E35" s="33">
        <f>'Working capital'!E28</f>
        <v>0</v>
      </c>
      <c r="F35" s="33">
        <f>'Working capital'!F28</f>
        <v>0.58699999999999997</v>
      </c>
      <c r="G35" s="33">
        <f>'Working capital'!G28</f>
        <v>0</v>
      </c>
      <c r="H35" s="33">
        <f>'Working capital'!H28</f>
        <v>0</v>
      </c>
      <c r="I35" s="33">
        <f>'Working capital'!I28</f>
        <v>0</v>
      </c>
      <c r="J35" s="16">
        <f>'Working capital'!J28</f>
        <v>0</v>
      </c>
      <c r="K35" s="4"/>
    </row>
    <row r="36" spans="2:13" ht="15">
      <c r="B36" s="32" t="s">
        <v>16</v>
      </c>
      <c r="C36" s="33">
        <f>'Working capital'!C57</f>
        <v>0</v>
      </c>
      <c r="D36" s="33">
        <f>'Working capital'!D57</f>
        <v>0</v>
      </c>
      <c r="E36" s="33">
        <f>'Working capital'!E57</f>
        <v>2.6951339999999999</v>
      </c>
      <c r="F36" s="33">
        <f>'Working capital'!F57</f>
        <v>3.298</v>
      </c>
      <c r="G36" s="33">
        <f>'Working capital'!G57</f>
        <v>1.8879999999999999</v>
      </c>
      <c r="H36" s="33">
        <f>'Working capital'!H57</f>
        <v>11.425000000000001</v>
      </c>
      <c r="I36" s="33">
        <f>'Working capital'!I57</f>
        <v>12.164999999999999</v>
      </c>
      <c r="J36" s="16">
        <v>9.7810000000000006</v>
      </c>
      <c r="K36" s="4"/>
    </row>
    <row r="37" spans="2:13" ht="15">
      <c r="B37" s="32" t="s">
        <v>317</v>
      </c>
      <c r="C37" s="33">
        <f>'Working capital'!C71</f>
        <v>16.506</v>
      </c>
      <c r="D37" s="33">
        <f>'Working capital'!D71</f>
        <v>10.302999999999999</v>
      </c>
      <c r="E37" s="33">
        <f>'Working capital'!E71</f>
        <v>30.294803000000002</v>
      </c>
      <c r="F37" s="33">
        <f>'Working capital'!F71</f>
        <v>3.9689999999999999</v>
      </c>
      <c r="G37" s="33">
        <f>'Working capital'!G71</f>
        <v>39.427999999999997</v>
      </c>
      <c r="H37" s="33">
        <f>'Working capital'!H71</f>
        <v>558.005</v>
      </c>
      <c r="I37" s="33">
        <f>'Working capital'!I71</f>
        <v>432.053</v>
      </c>
      <c r="J37" s="16">
        <v>719.28500000000008</v>
      </c>
      <c r="K37" s="4"/>
    </row>
    <row r="38" spans="2:13" ht="15">
      <c r="B38" s="32" t="s">
        <v>395</v>
      </c>
      <c r="C38" s="33">
        <f>'Other assets'!C69</f>
        <v>1.7529999999999999</v>
      </c>
      <c r="D38" s="33">
        <f>'Other assets'!D69</f>
        <v>74.203000000000003</v>
      </c>
      <c r="E38" s="33">
        <f>'Other assets'!E69</f>
        <v>16.213160999999999</v>
      </c>
      <c r="F38" s="33">
        <f>'Other assets'!F69</f>
        <v>115.31200000000001</v>
      </c>
      <c r="G38" s="33">
        <f>'Other assets'!G69</f>
        <v>225.691</v>
      </c>
      <c r="H38" s="33">
        <f>'Other assets'!H69</f>
        <v>559.904</v>
      </c>
      <c r="I38" s="33">
        <f>'Other assets'!I69</f>
        <v>505.99200000000002</v>
      </c>
      <c r="J38" s="16">
        <f>(1266.02+3231.29)/10</f>
        <v>449.73099999999994</v>
      </c>
      <c r="K38" s="4"/>
    </row>
    <row r="39" spans="2:13" ht="15">
      <c r="B39" s="32" t="s">
        <v>321</v>
      </c>
      <c r="C39" s="33">
        <f>'Working capital'!C78</f>
        <v>0</v>
      </c>
      <c r="D39" s="33">
        <f>'Working capital'!D78</f>
        <v>0.40799999999999997</v>
      </c>
      <c r="E39" s="33">
        <f>'Working capital'!E78</f>
        <v>2.9628000000000002E-2</v>
      </c>
      <c r="F39" s="33">
        <f>'Working capital'!F78</f>
        <v>7.516</v>
      </c>
      <c r="G39" s="33">
        <f>'Working capital'!G78</f>
        <v>0.02</v>
      </c>
      <c r="H39" s="33">
        <f>'Working capital'!H78</f>
        <v>0.46800000000000003</v>
      </c>
      <c r="I39" s="33">
        <f>'Working capital'!I78</f>
        <v>34.909000000000006</v>
      </c>
      <c r="J39" s="16">
        <f>(428.19+674.2)/10</f>
        <v>110.239</v>
      </c>
      <c r="K39" s="4"/>
    </row>
    <row r="40" spans="2:13" ht="15">
      <c r="B40" s="32" t="s">
        <v>332</v>
      </c>
      <c r="C40" s="37">
        <f>'Working capital'!C95</f>
        <v>7.8860000000000001</v>
      </c>
      <c r="D40" s="37">
        <f>'Working capital'!D95</f>
        <v>5.2589999999999995</v>
      </c>
      <c r="E40" s="37">
        <f>'Working capital'!E95</f>
        <v>18.387299000000002</v>
      </c>
      <c r="F40" s="37">
        <f>'Working capital'!F95</f>
        <v>70.766000000000005</v>
      </c>
      <c r="G40" s="37">
        <f>'Working capital'!G95</f>
        <v>76.302999999999997</v>
      </c>
      <c r="H40" s="37">
        <f>'Working capital'!H95</f>
        <v>167.81299999999999</v>
      </c>
      <c r="I40" s="37">
        <f>'Working capital'!I95</f>
        <v>118.71500000000002</v>
      </c>
      <c r="J40" s="2">
        <v>3.9E-2</v>
      </c>
      <c r="K40" s="4"/>
    </row>
    <row r="41" spans="2:13" ht="15">
      <c r="B41" s="17" t="s">
        <v>617</v>
      </c>
      <c r="C41" s="18">
        <f>SUM(C35:C40)</f>
        <v>26.145</v>
      </c>
      <c r="D41" s="18">
        <f t="shared" ref="D41:I41" si="9">SUM(D35:D40)</f>
        <v>90.173000000000002</v>
      </c>
      <c r="E41" s="18">
        <f t="shared" si="9"/>
        <v>67.620025000000012</v>
      </c>
      <c r="F41" s="18">
        <f t="shared" si="9"/>
        <v>201.44800000000004</v>
      </c>
      <c r="G41" s="18">
        <f t="shared" si="9"/>
        <v>343.33</v>
      </c>
      <c r="H41" s="18">
        <f t="shared" si="9"/>
        <v>1297.6149999999998</v>
      </c>
      <c r="I41" s="18">
        <f t="shared" si="9"/>
        <v>1103.8340000000001</v>
      </c>
      <c r="J41" s="18">
        <f t="shared" ref="J41" si="10">SUM(J35:J40)</f>
        <v>1289.075</v>
      </c>
      <c r="K41" s="38"/>
      <c r="L41" s="36"/>
      <c r="M41" s="36"/>
    </row>
    <row r="42" spans="2:13" ht="15.75" thickBot="1">
      <c r="B42" s="17" t="s">
        <v>618</v>
      </c>
      <c r="C42" s="21">
        <f>C30+C32+C33+C34+C41</f>
        <v>140.929</v>
      </c>
      <c r="D42" s="21">
        <f t="shared" ref="D42:I42" si="11">D30+D32+D33+D34+D41</f>
        <v>299.44500000000005</v>
      </c>
      <c r="E42" s="21">
        <f t="shared" si="11"/>
        <v>355.06406699999991</v>
      </c>
      <c r="F42" s="21">
        <f t="shared" si="11"/>
        <v>510.35800000000006</v>
      </c>
      <c r="G42" s="21">
        <f t="shared" si="11"/>
        <v>936.79599999999982</v>
      </c>
      <c r="H42" s="21">
        <f t="shared" si="11"/>
        <v>2088.8379999999997</v>
      </c>
      <c r="I42" s="21">
        <f t="shared" si="11"/>
        <v>2585.0610000000001</v>
      </c>
      <c r="J42" s="21">
        <f t="shared" ref="J42" si="12">J30+J32+J33+J34+J41</f>
        <v>3987.2730000000001</v>
      </c>
      <c r="K42" s="38"/>
      <c r="L42" s="36"/>
      <c r="M42" s="36"/>
    </row>
    <row r="43" spans="2:13" ht="6" customHeight="1" thickTop="1">
      <c r="B43" s="15"/>
      <c r="C43" s="16"/>
      <c r="D43" s="16"/>
      <c r="E43" s="16"/>
      <c r="F43" s="16"/>
      <c r="G43" s="16"/>
      <c r="H43" s="16"/>
      <c r="I43" s="16"/>
      <c r="J43" s="16"/>
    </row>
    <row r="44" spans="2:13" ht="15">
      <c r="B44" s="32" t="s">
        <v>594</v>
      </c>
      <c r="C44" s="42">
        <f>+'CF Dashboard'!C32</f>
        <v>65.0441</v>
      </c>
      <c r="D44" s="42">
        <f>+'CF Dashboard'!D32</f>
        <v>69.171300000000002</v>
      </c>
      <c r="E44" s="42">
        <f>+'CF Dashboard'!E32</f>
        <v>76.152199999999993</v>
      </c>
      <c r="F44" s="42">
        <f>+'CF Dashboard'!F32</f>
        <v>73.5047</v>
      </c>
      <c r="G44" s="42">
        <f>+'CF Dashboard'!G32</f>
        <v>75.807100000000005</v>
      </c>
      <c r="H44" s="42">
        <f>+'CF Dashboard'!H32</f>
        <v>82.216899999999995</v>
      </c>
      <c r="I44" s="42">
        <f>+'CF Dashboard'!I32</f>
        <v>83.373900000000006</v>
      </c>
      <c r="J44" s="42">
        <f>+'CF Dashboard'!J32</f>
        <v>85.58</v>
      </c>
      <c r="K44" s="4"/>
    </row>
    <row r="45" spans="2:13" ht="6" customHeight="1">
      <c r="B45" s="15"/>
      <c r="C45" s="16"/>
      <c r="D45" s="16"/>
      <c r="E45" s="16"/>
      <c r="F45" s="16"/>
      <c r="G45" s="16"/>
      <c r="H45" s="16"/>
      <c r="I45" s="16"/>
      <c r="J45" s="16"/>
    </row>
    <row r="46" spans="2:13" ht="15">
      <c r="B46" s="45" t="s">
        <v>599</v>
      </c>
      <c r="C46" s="46">
        <f>C25-C42</f>
        <v>0</v>
      </c>
      <c r="D46" s="46">
        <f t="shared" ref="D46:I46" si="13">D25-D42</f>
        <v>0</v>
      </c>
      <c r="E46" s="46">
        <f t="shared" si="13"/>
        <v>0</v>
      </c>
      <c r="F46" s="46">
        <f t="shared" si="13"/>
        <v>0</v>
      </c>
      <c r="G46" s="46">
        <f t="shared" si="13"/>
        <v>0</v>
      </c>
      <c r="H46" s="46">
        <f t="shared" si="13"/>
        <v>0</v>
      </c>
      <c r="I46" s="46">
        <f t="shared" si="13"/>
        <v>0</v>
      </c>
      <c r="J46" s="46">
        <f t="shared" ref="J46" si="14">J25-J42</f>
        <v>0</v>
      </c>
      <c r="K46" s="4"/>
    </row>
    <row r="47" spans="2:13" ht="6" customHeight="1">
      <c r="B47" s="15"/>
      <c r="C47" s="16"/>
      <c r="D47" s="16"/>
      <c r="E47" s="16"/>
      <c r="F47" s="16"/>
      <c r="G47" s="16"/>
      <c r="H47" s="16"/>
      <c r="I47" s="16"/>
      <c r="J47" s="16"/>
    </row>
    <row r="48" spans="2:13" ht="15">
      <c r="B48" s="17" t="s">
        <v>619</v>
      </c>
      <c r="C48" s="18"/>
      <c r="D48" s="18"/>
      <c r="E48" s="18"/>
      <c r="F48" s="18"/>
      <c r="G48" s="18"/>
      <c r="H48" s="18"/>
      <c r="I48" s="18"/>
      <c r="J48" s="18"/>
      <c r="K48" s="38"/>
      <c r="L48" s="36"/>
      <c r="M48" s="36"/>
    </row>
    <row r="49" spans="2:13" ht="15">
      <c r="B49" s="48" t="s">
        <v>620</v>
      </c>
      <c r="C49" s="50" t="s">
        <v>634</v>
      </c>
      <c r="D49" s="50">
        <f>IF(D10=0,"NA",'CF IS'!D16/AVERAGE((C10+C12+C16-C38),(D10+D12+D16-D38)))</f>
        <v>0.32306550978937509</v>
      </c>
      <c r="E49" s="50">
        <f>IF(E10=0,"NA",'CF IS'!E16/AVERAGE((D10+D12+D16-D38),(E10+E12+E16-E38)))</f>
        <v>0.32090635353314195</v>
      </c>
      <c r="F49" s="50">
        <f>IF(F10=0,"NA",'CF IS'!F16/AVERAGE((E10+E12+E16-E38),(F10+F12+F16-F38)))</f>
        <v>0.36232483128993753</v>
      </c>
      <c r="G49" s="50">
        <f>IF(G10=0,"NA",'CF IS'!G16/AVERAGE((F10+F12+F16-F38),(G10+G12+G16-G38)))</f>
        <v>0.68174985958281897</v>
      </c>
      <c r="H49" s="50">
        <f>IF(H10=0,"NA",'CF IS'!H16/AVERAGE((G10+G12+G16-G38),(H10+H12+H16-H38)))</f>
        <v>0.81227767781039861</v>
      </c>
      <c r="I49" s="50">
        <f>IF(I10=0,"NA",'CF IS'!I16/AVERAGE((H10+H12+H16-H38),(I10+I12+I16-I38)))</f>
        <v>0.30843028700916963</v>
      </c>
      <c r="J49" s="50">
        <f>IF(J10=0,"NA",'CF IS'!J16/AVERAGE((I10+I12+I16-I38),(J10+J12+J16-J38)))</f>
        <v>0.27390176745414524</v>
      </c>
      <c r="K49" s="51"/>
      <c r="L49" s="52"/>
      <c r="M49" s="52"/>
    </row>
    <row r="50" spans="2:13" ht="15">
      <c r="B50" s="48" t="s">
        <v>621</v>
      </c>
      <c r="C50" s="50" t="s">
        <v>634</v>
      </c>
      <c r="D50" s="50">
        <f>IF(D10=0,"NA",'CF IS'!D27/(AVERAGE(C10,D10)))</f>
        <v>0.44957739819138226</v>
      </c>
      <c r="E50" s="50">
        <f>IF(E10=0,"NA",'CF IS'!E27/(AVERAGE(D10,E10)))</f>
        <v>0.41003248858578711</v>
      </c>
      <c r="F50" s="50">
        <f>IF(F10=0,"NA",'CF IS'!F27/(AVERAGE(E10,F10)))</f>
        <v>0.3486014165509207</v>
      </c>
      <c r="G50" s="50">
        <f>IF(G10=0,"NA",'CF IS'!G27/(AVERAGE(F10,G10)))</f>
        <v>0.52136030420214174</v>
      </c>
      <c r="H50" s="50">
        <f>IF(H10=0,"NA",'CF IS'!H27/(AVERAGE(G10,H10)))</f>
        <v>0.51386831209918904</v>
      </c>
      <c r="I50" s="50">
        <f>IF(I10=0,"NA",'CF IS'!I27/(AVERAGE(H10,I10)))</f>
        <v>0.18096644076859578</v>
      </c>
      <c r="J50" s="50">
        <f>IF(J10=0,"NA",'CF IS'!J27/(AVERAGE(I10,J10)))</f>
        <v>0.25797522727574124</v>
      </c>
      <c r="K50" s="51"/>
      <c r="L50" s="52"/>
      <c r="M50" s="52"/>
    </row>
    <row r="51" spans="2:13" ht="6" customHeight="1">
      <c r="B51" s="15"/>
      <c r="C51" s="16"/>
      <c r="D51" s="16"/>
      <c r="E51" s="16"/>
      <c r="F51" s="16"/>
      <c r="G51" s="16"/>
      <c r="H51" s="16"/>
      <c r="I51" s="16"/>
      <c r="J51" s="16"/>
    </row>
    <row r="52" spans="2:13" ht="15">
      <c r="B52" s="27" t="s">
        <v>622</v>
      </c>
      <c r="C52" s="28"/>
      <c r="D52" s="28"/>
      <c r="E52" s="28"/>
      <c r="F52" s="28"/>
      <c r="G52" s="28"/>
      <c r="H52" s="28"/>
      <c r="I52" s="28"/>
      <c r="J52" s="28"/>
      <c r="K52" s="36"/>
      <c r="L52" s="36"/>
      <c r="M52" s="36"/>
    </row>
    <row r="53" spans="2:13" ht="15">
      <c r="B53" s="32" t="s">
        <v>623</v>
      </c>
      <c r="C53" s="33">
        <f>IF(C37=0,"NA",C37/'CF IS'!C6*365)</f>
        <v>56.831872765519911</v>
      </c>
      <c r="D53" s="33">
        <f>IF(D37=0,"NA",D37/'CF IS'!D6*365)</f>
        <v>35.587430918313267</v>
      </c>
      <c r="E53" s="33">
        <f>IF(E37=0,"NA",E37/'CF IS'!E6*365)</f>
        <v>46.249075759056645</v>
      </c>
      <c r="F53" s="33">
        <f>IF(F37=0,"NA",F37/'CF IS'!F6*365)</f>
        <v>4.3527320910276366</v>
      </c>
      <c r="G53" s="33">
        <f>IF(G37=0,"NA",G37/'CF IS'!G6*365)</f>
        <v>23.551123206608807</v>
      </c>
      <c r="H53" s="33">
        <f>IF(H37=0,"NA",H37/'CF IS'!H6*365)</f>
        <v>101.06298280748832</v>
      </c>
      <c r="I53" s="33">
        <f>IF(I37=0,"NA",I37/'CF IS'!I6*365)</f>
        <v>96.403201186430636</v>
      </c>
      <c r="J53" s="33">
        <f>IF(J37=0,"NA",J37/'CF IS'!J6*365)</f>
        <v>130.80730488817767</v>
      </c>
      <c r="K53" s="4"/>
    </row>
    <row r="54" spans="2:13" ht="15">
      <c r="B54" s="32" t="s">
        <v>624</v>
      </c>
      <c r="C54" s="33" t="str">
        <f>IF(C36=0,"NA",C36/'CF IS'!C6*365)</f>
        <v>NA</v>
      </c>
      <c r="D54" s="33" t="str">
        <f>IF(D36=0,"NA",D36/'CF IS'!D6*365)</f>
        <v>NA</v>
      </c>
      <c r="E54" s="33">
        <f>IF(E36=0,"NA",E36/'CF IS'!E6*365)</f>
        <v>4.1144831523350502</v>
      </c>
      <c r="F54" s="33">
        <f>IF(F36=0,"NA",F36/'CF IS'!F6*365)</f>
        <v>3.6168582605717168</v>
      </c>
      <c r="G54" s="33">
        <f>IF(G36=0,"NA",G36/'CF IS'!G6*365)</f>
        <v>1.1277396929612822</v>
      </c>
      <c r="H54" s="33">
        <f>IF(H36=0,"NA",H36/'CF IS'!H6*365)</f>
        <v>2.0692369756105307</v>
      </c>
      <c r="I54" s="33">
        <f>IF(I36=0,"NA",I36/'CF IS'!I6*365)</f>
        <v>2.7143543556761061</v>
      </c>
      <c r="J54" s="33">
        <f>IF(J36=0,"NA",J36/'CF IS'!J6*365)</f>
        <v>1.7787472964280717</v>
      </c>
      <c r="K54" s="4"/>
    </row>
    <row r="55" spans="2:13" ht="15">
      <c r="B55" s="32" t="s">
        <v>625</v>
      </c>
      <c r="C55" s="33" t="str">
        <f>IF(C39=0,"NA",C39/'CF IS'!C6*365)</f>
        <v>NA</v>
      </c>
      <c r="D55" s="33">
        <f>IF(D39=0,"NA",D39/'CF IS'!D6*365)</f>
        <v>1.4092664092664091</v>
      </c>
      <c r="E55" s="33">
        <f>IF(E39=0,"NA",E39/'CF IS'!E6*365)</f>
        <v>4.5231111639489133E-2</v>
      </c>
      <c r="F55" s="33">
        <f>IF(F39=0,"NA",F39/'CF IS'!F6*365)</f>
        <v>8.2426642469548295</v>
      </c>
      <c r="G55" s="33">
        <f>IF(G39=0,"NA",G39/'CF IS'!G6*365)</f>
        <v>1.1946395052555956E-2</v>
      </c>
      <c r="H55" s="33">
        <f>IF(H39=0,"NA",H39/'CF IS'!H6*365)</f>
        <v>8.4761742195687384E-2</v>
      </c>
      <c r="I55" s="33">
        <f>IF(I39=0,"NA",I39/'CF IS'!I6*365)</f>
        <v>7.7891817675542292</v>
      </c>
      <c r="J55" s="33">
        <f>IF(J39=0,"NA",J39/'CF IS'!J6*365)</f>
        <v>20.047778674055227</v>
      </c>
      <c r="K55" s="4"/>
    </row>
    <row r="56" spans="2:13" ht="15">
      <c r="B56" s="32" t="s">
        <v>626</v>
      </c>
      <c r="C56" s="33">
        <f>IFERROR((IF(C40=0, "NA", C40/'CF IS'!C6*365)), "NA")</f>
        <v>27.152317256082032</v>
      </c>
      <c r="D56" s="33">
        <f>IFERROR((IF(D40=0, "NA", D40/'CF IS'!D6*365)), "NA")</f>
        <v>18.165029525323643</v>
      </c>
      <c r="E56" s="33">
        <f>IFERROR((IF(E40=0, "NA", E40/'CF IS'!E6*365)), "NA")</f>
        <v>28.070675503498951</v>
      </c>
      <c r="F56" s="33">
        <f>IFERROR((IF(F40=0, "NA", F40/'CF IS'!F6*365)), "NA")</f>
        <v>77.607820396488222</v>
      </c>
      <c r="G56" s="33">
        <f>IFERROR((IF(G40=0, "NA", G40/'CF IS'!G6*365)), "NA")</f>
        <v>45.577289084758853</v>
      </c>
      <c r="H56" s="33">
        <f>IFERROR((IF(H40=0, "NA", H40/'CF IS'!H6*365)), "NA")</f>
        <v>30.393423596335225</v>
      </c>
      <c r="I56" s="33">
        <f>IFERROR((IF(I40=0, "NA", I40/'CF IS'!I6*365)), "NA")</f>
        <v>26.488662337368599</v>
      </c>
      <c r="J56" s="33">
        <f>IFERROR((IF(J40=0, "NA", J40/'CF IS'!J6*365)), "NA")</f>
        <v>7.0924388672625287E-3</v>
      </c>
      <c r="K56" s="4"/>
    </row>
    <row r="57" spans="2:13" ht="15">
      <c r="B57" s="32" t="s">
        <v>627</v>
      </c>
      <c r="C57" s="33">
        <f>IF(C18=0,"NA",-C18/'CF IS'!C6*365)</f>
        <v>-28.243781188389661</v>
      </c>
      <c r="D57" s="33">
        <f>IF(D18=0,"NA",-D18/'CF IS'!D6*365)</f>
        <v>-246.84959118782646</v>
      </c>
      <c r="E57" s="33">
        <f>IF(E18=0,"NA",-E18/'CF IS'!E6*365)</f>
        <v>-39.589828101348154</v>
      </c>
      <c r="F57" s="33">
        <f>IF(F18=0,"NA",-F18/'CF IS'!F6*365)</f>
        <v>-5.4592845424881764</v>
      </c>
      <c r="G57" s="33">
        <f>IF(G18=0,"NA",-G18/'CF IS'!G6*365)</f>
        <v>-36.843876981587826</v>
      </c>
      <c r="H57" s="33">
        <f>IF(H18=0,"NA",-H18/'CF IS'!H6*365)</f>
        <v>-47.279665121153421</v>
      </c>
      <c r="I57" s="33">
        <f>IF(I18=0,"NA",-I18/'CF IS'!I6*365)</f>
        <v>-27.155815606868924</v>
      </c>
      <c r="J57" s="33">
        <f>IF(J18=0,"NA",-J18/'CF IS'!J6*365)</f>
        <v>-41.797015246626053</v>
      </c>
      <c r="K57" s="4"/>
    </row>
    <row r="58" spans="2:13" ht="15">
      <c r="B58" s="32" t="s">
        <v>628</v>
      </c>
      <c r="C58" s="33" t="str">
        <f>IFERROR(IF(C20=0, "NA", -C20/'CF IS'!C6*365), "NA")</f>
        <v>NA</v>
      </c>
      <c r="D58" s="33" t="str">
        <f>IFERROR(IF(D20=0, "NA", -D20/'CF IS'!D6*365), "NA")</f>
        <v>NA</v>
      </c>
      <c r="E58" s="33">
        <f>IFERROR(IF(E20=0, "NA", -E20/'CF IS'!E6*365), "NA")</f>
        <v>-32.245138578380363</v>
      </c>
      <c r="F58" s="33">
        <f>IFERROR(IF(F20=0, "NA", -F20/'CF IS'!F6*365), "NA")</f>
        <v>-2.6846782965068416</v>
      </c>
      <c r="G58" s="33">
        <f>IFERROR(IF(G20=0, "NA", -G20/'CF IS'!G6*365), "NA")</f>
        <v>-8.3051338405369002</v>
      </c>
      <c r="H58" s="33">
        <f>IFERROR(IF(H20=0, "NA", -H20/'CF IS'!H6*365), "NA")</f>
        <v>-3.8258697481660269</v>
      </c>
      <c r="I58" s="33">
        <f>IFERROR(IF(I20=0, "NA", -I20/'CF IS'!I6*365), "NA")</f>
        <v>-2.9169547465477796</v>
      </c>
      <c r="J58" s="33">
        <f>IFERROR(IF(J20=0, "NA", -J20/'CF IS'!J6*365), "NA")</f>
        <v>-19.438920075911771</v>
      </c>
      <c r="K58" s="4"/>
    </row>
    <row r="59" spans="2:13" ht="15">
      <c r="B59" s="32" t="s">
        <v>629</v>
      </c>
      <c r="C59" s="37">
        <f>IFERROR(IF(C19=0, "NA", -C19/'CF IS'!C6*365), "NA")</f>
        <v>-38.927732551009825</v>
      </c>
      <c r="D59" s="37">
        <f>IFERROR(IF(D19=0, "NA", -D19/'CF IS'!D6*365), "NA")</f>
        <v>-36.609839881898708</v>
      </c>
      <c r="E59" s="37">
        <f>IFERROR(IF(E19=0, "NA", -E19/'CF IS'!E6*365), "NA")</f>
        <v>-20.66920588281253</v>
      </c>
      <c r="F59" s="37">
        <f>IFERROR(IF(F19=0, "NA", -F19/'CF IS'!F6*365), "NA")</f>
        <v>-24.589810769720749</v>
      </c>
      <c r="G59" s="37">
        <f>IFERROR(IF(G19=0, "NA", -G19/'CF IS'!G6*365), "NA")</f>
        <v>-40.544870168869657</v>
      </c>
      <c r="H59" s="37">
        <f>IFERROR(IF(H19=0, "NA", -H19/'CF IS'!H6*365), "NA")</f>
        <v>-27.868501699006</v>
      </c>
      <c r="I59" s="37">
        <f>IFERROR(IF(I19=0, "NA", -I19/'CF IS'!I6*365), "NA")</f>
        <v>-21.044557781335602</v>
      </c>
      <c r="J59" s="37">
        <f>IFERROR(IF(J19=0, "NA", -J19/'CF IS'!J6*365), "NA")</f>
        <v>-6.2446196365143773</v>
      </c>
      <c r="K59" s="4"/>
    </row>
    <row r="60" spans="2:13" ht="15">
      <c r="B60" s="17" t="s">
        <v>630</v>
      </c>
      <c r="C60" s="3">
        <f>SUM(C53:C59)</f>
        <v>16.81267628220246</v>
      </c>
      <c r="D60" s="3">
        <f t="shared" ref="D60:I60" si="15">SUM(D53:D59)</f>
        <v>-228.29770421682184</v>
      </c>
      <c r="E60" s="3">
        <f t="shared" si="15"/>
        <v>-14.024707036010913</v>
      </c>
      <c r="F60" s="3">
        <f t="shared" si="15"/>
        <v>61.086301386326632</v>
      </c>
      <c r="G60" s="3">
        <f t="shared" si="15"/>
        <v>-15.425782611612885</v>
      </c>
      <c r="H60" s="3">
        <f t="shared" si="15"/>
        <v>54.636368553304308</v>
      </c>
      <c r="I60" s="3">
        <f t="shared" si="15"/>
        <v>82.278071512277265</v>
      </c>
      <c r="J60" s="3">
        <f t="shared" ref="J60" si="16">SUM(J53:J59)</f>
        <v>85.160368338476033</v>
      </c>
      <c r="K60" s="38"/>
      <c r="L60" s="36"/>
      <c r="M60" s="36"/>
    </row>
    <row r="61" spans="2:13" ht="15">
      <c r="B61" s="32" t="s">
        <v>631</v>
      </c>
      <c r="C61" s="33"/>
      <c r="D61" s="33"/>
      <c r="E61" s="33"/>
      <c r="F61" s="33"/>
      <c r="G61" s="33"/>
      <c r="H61" s="33"/>
      <c r="I61" s="33"/>
      <c r="J61" s="33"/>
      <c r="K61" s="4"/>
    </row>
    <row r="62" spans="2:13" ht="15">
      <c r="B62" s="15" t="s">
        <v>632</v>
      </c>
      <c r="C62" s="49">
        <v>0</v>
      </c>
      <c r="D62" s="49">
        <v>2.5</v>
      </c>
      <c r="E62" s="49">
        <v>2.5</v>
      </c>
      <c r="F62" s="49">
        <v>10.199999999999999</v>
      </c>
      <c r="G62" s="49">
        <v>10.199999999999999</v>
      </c>
      <c r="H62" s="49">
        <v>10.8</v>
      </c>
      <c r="I62" s="49">
        <v>10.8</v>
      </c>
      <c r="J62" s="49">
        <v>10.8</v>
      </c>
    </row>
    <row r="63" spans="2:13" ht="6" customHeight="1">
      <c r="C63" s="25"/>
      <c r="D63" s="25"/>
      <c r="E63" s="25"/>
      <c r="F63" s="25"/>
      <c r="G63" s="25"/>
      <c r="H63" s="25"/>
      <c r="I63" s="25"/>
      <c r="J63" s="25"/>
    </row>
    <row r="64" spans="2:13" ht="15">
      <c r="B64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EF5C-E2DF-4582-AC6F-BFEFAC218A62}">
  <sheetPr>
    <pageSetUpPr fitToPage="1"/>
  </sheetPr>
  <dimension ref="B1:L43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/>
  <cols>
    <col min="1" max="1" width="0.875" customWidth="1"/>
    <col min="2" max="2" width="36.375" bestFit="1" customWidth="1"/>
    <col min="3" max="10" width="9.625" customWidth="1"/>
    <col min="11" max="11" width="2.625" customWidth="1"/>
    <col min="12" max="12" width="9.625" customWidth="1"/>
  </cols>
  <sheetData>
    <row r="1" spans="2:12" ht="15">
      <c r="B1" s="12" t="str">
        <f>+Cover!B3</f>
        <v>Knowledge Marine &amp; Engineering Works Ltd.</v>
      </c>
    </row>
    <row r="3" spans="2:12" ht="15">
      <c r="B3" s="13" t="s">
        <v>661</v>
      </c>
      <c r="C3" s="47"/>
      <c r="D3" s="47"/>
      <c r="E3" s="47"/>
      <c r="F3" s="47"/>
      <c r="G3" s="47"/>
      <c r="H3" s="47"/>
      <c r="I3" s="47"/>
      <c r="J3" s="47"/>
      <c r="L3" s="47"/>
    </row>
    <row r="4" spans="2:12" ht="15">
      <c r="B4" s="9" t="s">
        <v>27</v>
      </c>
      <c r="C4" s="9" t="s">
        <v>635</v>
      </c>
      <c r="D4" s="7" t="s">
        <v>636</v>
      </c>
      <c r="E4" s="7" t="s">
        <v>637</v>
      </c>
      <c r="F4" s="7" t="s">
        <v>638</v>
      </c>
      <c r="G4" s="7" t="s">
        <v>639</v>
      </c>
      <c r="H4" s="7" t="s">
        <v>640</v>
      </c>
      <c r="I4" s="7" t="s">
        <v>641</v>
      </c>
      <c r="J4" s="7" t="s">
        <v>684</v>
      </c>
      <c r="K4" s="36"/>
      <c r="L4" s="7" t="s">
        <v>685</v>
      </c>
    </row>
    <row r="5" spans="2:12" ht="15">
      <c r="B5" s="8"/>
      <c r="C5" s="10" t="str">
        <f>Expenses!C5</f>
        <v>Consolidated</v>
      </c>
      <c r="D5" s="10" t="str">
        <f>Expenses!D5</f>
        <v>Consolidated</v>
      </c>
      <c r="E5" s="10" t="str">
        <f>Expenses!E5</f>
        <v>Consolidated</v>
      </c>
      <c r="F5" s="10" t="str">
        <f>Expenses!F5</f>
        <v>Consolidated</v>
      </c>
      <c r="G5" s="10" t="str">
        <f>Expenses!G5</f>
        <v>Consolidated</v>
      </c>
      <c r="H5" s="10" t="str">
        <f>Expenses!H5</f>
        <v>Consolidated</v>
      </c>
      <c r="I5" s="10" t="str">
        <f>Expenses!I5</f>
        <v>Consolidated</v>
      </c>
      <c r="J5" s="10" t="str">
        <f>I5</f>
        <v>Consolidated</v>
      </c>
      <c r="L5" s="10" t="str">
        <f>J5</f>
        <v>Consolidated</v>
      </c>
    </row>
    <row r="6" spans="2:12" ht="15">
      <c r="B6" s="17" t="s">
        <v>642</v>
      </c>
      <c r="C6" s="18">
        <f>'Revenue &amp; OI'!C11</f>
        <v>106.009</v>
      </c>
      <c r="D6" s="18">
        <f>'Revenue &amp; OI'!D11</f>
        <v>105.672</v>
      </c>
      <c r="E6" s="18">
        <f>'Revenue &amp; OI'!E11</f>
        <v>239.088088</v>
      </c>
      <c r="F6" s="18">
        <f>'Revenue &amp; OI'!F11</f>
        <v>332.822</v>
      </c>
      <c r="G6" s="18">
        <f>'Revenue &amp; OI'!G11</f>
        <v>611.06299999999999</v>
      </c>
      <c r="H6" s="18">
        <f>'Revenue &amp; OI'!H11</f>
        <v>2015.296</v>
      </c>
      <c r="I6" s="18">
        <f>'Revenue &amp; OI'!I11</f>
        <v>1635.8309999999999</v>
      </c>
      <c r="J6" s="28">
        <v>2007.0669999999998</v>
      </c>
      <c r="K6" s="38"/>
      <c r="L6" s="28">
        <v>484.745</v>
      </c>
    </row>
    <row r="7" spans="2:12" ht="15">
      <c r="B7" s="32" t="s">
        <v>132</v>
      </c>
      <c r="C7" s="37">
        <f>-Expenses!C53</f>
        <v>-60.720000000000006</v>
      </c>
      <c r="D7" s="37">
        <f>-Expenses!D53</f>
        <v>-29.673999999999999</v>
      </c>
      <c r="E7" s="37">
        <f>-Expenses!E53</f>
        <v>-122.20689600000001</v>
      </c>
      <c r="F7" s="37">
        <f>-Expenses!F53</f>
        <v>-160.80000000000004</v>
      </c>
      <c r="G7" s="37">
        <f>-Expenses!G53</f>
        <v>-230.46300000000002</v>
      </c>
      <c r="H7" s="37">
        <f>-Expenses!H53</f>
        <v>-1240.0600000000002</v>
      </c>
      <c r="I7" s="37">
        <f>-Expenses!I53</f>
        <v>-988.11900000000014</v>
      </c>
      <c r="J7" s="2">
        <v>-950.98400000000004</v>
      </c>
      <c r="K7" s="4"/>
      <c r="L7" s="2">
        <v>-227.786</v>
      </c>
    </row>
    <row r="8" spans="2:12" ht="15">
      <c r="B8" s="17" t="s">
        <v>643</v>
      </c>
      <c r="C8" s="18">
        <f>SUM(C6:C7)</f>
        <v>45.288999999999994</v>
      </c>
      <c r="D8" s="18">
        <f t="shared" ref="D8:I8" si="0">SUM(D6:D7)</f>
        <v>75.99799999999999</v>
      </c>
      <c r="E8" s="18">
        <f t="shared" si="0"/>
        <v>116.88119199999998</v>
      </c>
      <c r="F8" s="18">
        <f t="shared" si="0"/>
        <v>172.02199999999996</v>
      </c>
      <c r="G8" s="18">
        <f t="shared" si="0"/>
        <v>380.59999999999997</v>
      </c>
      <c r="H8" s="18">
        <f t="shared" si="0"/>
        <v>775.23599999999988</v>
      </c>
      <c r="I8" s="18">
        <f t="shared" si="0"/>
        <v>647.71199999999976</v>
      </c>
      <c r="J8" s="18">
        <f t="shared" ref="J8:L8" si="1">SUM(J6:J7)</f>
        <v>1056.0829999999996</v>
      </c>
      <c r="K8" s="38"/>
      <c r="L8" s="18">
        <f t="shared" si="1"/>
        <v>256.959</v>
      </c>
    </row>
    <row r="9" spans="2:12" ht="6" customHeight="1">
      <c r="B9" s="15"/>
      <c r="C9" s="16"/>
      <c r="D9" s="16"/>
      <c r="E9" s="16"/>
      <c r="F9" s="16"/>
      <c r="G9" s="16"/>
      <c r="H9" s="16"/>
      <c r="I9" s="16"/>
      <c r="J9" s="16"/>
      <c r="L9" s="16"/>
    </row>
    <row r="10" spans="2:12" ht="15">
      <c r="B10" s="32" t="s">
        <v>137</v>
      </c>
      <c r="C10" s="33">
        <f>-Expenses!C59</f>
        <v>-4.3579999999999997</v>
      </c>
      <c r="D10" s="33">
        <f>-Expenses!D59</f>
        <v>-9.4629999999999992</v>
      </c>
      <c r="E10" s="33">
        <f>-Expenses!E59</f>
        <v>-9.1494389999999992</v>
      </c>
      <c r="F10" s="33">
        <f>-Expenses!F59</f>
        <v>-12.102</v>
      </c>
      <c r="G10" s="33">
        <f>-Expenses!G59</f>
        <v>-18.768000000000001</v>
      </c>
      <c r="H10" s="33">
        <f>-Expenses!H59</f>
        <v>-29.476000000000003</v>
      </c>
      <c r="I10" s="33">
        <f>-Expenses!I59</f>
        <v>-37.60799999999999</v>
      </c>
      <c r="J10" s="16">
        <v>-69.63300000000001</v>
      </c>
      <c r="K10" s="4"/>
      <c r="L10" s="16">
        <v>-20.384</v>
      </c>
    </row>
    <row r="11" spans="2:12" ht="15">
      <c r="B11" s="32" t="s">
        <v>173</v>
      </c>
      <c r="C11" s="33">
        <f>-Expenses!C106</f>
        <v>-13.574999999999999</v>
      </c>
      <c r="D11" s="33">
        <f>-Expenses!D106</f>
        <v>-20.039000000000001</v>
      </c>
      <c r="E11" s="33">
        <f>-Expenses!E106</f>
        <v>-29.235321000000003</v>
      </c>
      <c r="F11" s="33">
        <f>-Expenses!F106</f>
        <v>-28.193000000000001</v>
      </c>
      <c r="G11" s="33">
        <f>-Expenses!G106</f>
        <v>-28.902000000000005</v>
      </c>
      <c r="H11" s="33">
        <f>-Expenses!H106</f>
        <v>-54.340999999999987</v>
      </c>
      <c r="I11" s="33">
        <f>-Expenses!I106</f>
        <v>-98.536999999999992</v>
      </c>
      <c r="J11" s="33">
        <f>-Expenses!J106</f>
        <v>0</v>
      </c>
      <c r="K11" s="4"/>
      <c r="L11" s="33">
        <f>(-Expenses!L106)/10</f>
        <v>0</v>
      </c>
    </row>
    <row r="12" spans="2:12" ht="15">
      <c r="B12" s="32" t="s">
        <v>181</v>
      </c>
      <c r="C12" s="33">
        <f>-Expenses!C115</f>
        <v>-0.72700000000000009</v>
      </c>
      <c r="D12" s="33">
        <f>-Expenses!D115</f>
        <v>-0.46499999999999997</v>
      </c>
      <c r="E12" s="33">
        <f>-Expenses!E115</f>
        <v>-0.90014400000000006</v>
      </c>
      <c r="F12" s="33">
        <f>-Expenses!F115</f>
        <v>-0.16400000000000001</v>
      </c>
      <c r="G12" s="33">
        <f>-Expenses!G115</f>
        <v>-0.28699999999999998</v>
      </c>
      <c r="H12" s="33">
        <f>-Expenses!H115</f>
        <v>-1.44</v>
      </c>
      <c r="I12" s="33">
        <f>-Expenses!I115</f>
        <v>-4.0469999999999997</v>
      </c>
      <c r="J12" s="33">
        <f>-Expenses!J115</f>
        <v>0</v>
      </c>
      <c r="K12" s="4"/>
      <c r="L12" s="33">
        <f>(-Expenses!L115)/10</f>
        <v>0</v>
      </c>
    </row>
    <row r="13" spans="2:12" ht="15">
      <c r="B13" s="32" t="s">
        <v>189</v>
      </c>
      <c r="C13" s="37">
        <f>-Expenses!C124-Expenses!C126</f>
        <v>-1.0900000000000001</v>
      </c>
      <c r="D13" s="37">
        <f>-Expenses!D124-Expenses!D126</f>
        <v>-2.9810000000000003</v>
      </c>
      <c r="E13" s="37">
        <f>-Expenses!E124-Expenses!E126</f>
        <v>0</v>
      </c>
      <c r="F13" s="37">
        <f>-Expenses!F124-Expenses!F126</f>
        <v>-2.5000000000000001E-2</v>
      </c>
      <c r="G13" s="37">
        <f>-Expenses!G124-Expenses!G126</f>
        <v>-8.4909999999999997</v>
      </c>
      <c r="H13" s="37">
        <f>-Expenses!H124-Expenses!H126</f>
        <v>-3.1339999999999999</v>
      </c>
      <c r="I13" s="37">
        <f>-Expenses!I124-Expenses!I126</f>
        <v>-8.766</v>
      </c>
      <c r="J13" s="2">
        <v>-204.29900000000001</v>
      </c>
      <c r="K13" s="4"/>
      <c r="L13" s="2">
        <v>-37.177999999999997</v>
      </c>
    </row>
    <row r="14" spans="2:12" ht="15">
      <c r="B14" s="17" t="s">
        <v>644</v>
      </c>
      <c r="C14" s="18">
        <f>SUM(C10:C13)+C8</f>
        <v>25.538999999999994</v>
      </c>
      <c r="D14" s="18">
        <f t="shared" ref="D14:I14" si="2">SUM(D10:D13)+D8</f>
        <v>43.04999999999999</v>
      </c>
      <c r="E14" s="18">
        <f t="shared" si="2"/>
        <v>77.596287999999987</v>
      </c>
      <c r="F14" s="18">
        <f t="shared" si="2"/>
        <v>131.53799999999995</v>
      </c>
      <c r="G14" s="18">
        <f t="shared" si="2"/>
        <v>324.15199999999999</v>
      </c>
      <c r="H14" s="18">
        <f t="shared" si="2"/>
        <v>686.84499999999991</v>
      </c>
      <c r="I14" s="18">
        <f t="shared" si="2"/>
        <v>498.75399999999979</v>
      </c>
      <c r="J14" s="18">
        <f t="shared" ref="J14:L14" si="3">SUM(J10:J13)+J8</f>
        <v>782.15099999999961</v>
      </c>
      <c r="K14" s="38"/>
      <c r="L14" s="18">
        <f t="shared" si="3"/>
        <v>199.39699999999999</v>
      </c>
    </row>
    <row r="15" spans="2:12" ht="15">
      <c r="B15" s="32" t="s">
        <v>645</v>
      </c>
      <c r="C15" s="37">
        <f>-Expenses!C143</f>
        <v>-2.0619999999999998</v>
      </c>
      <c r="D15" s="37">
        <f>-Expenses!D143</f>
        <v>-7.9939999999999998</v>
      </c>
      <c r="E15" s="37">
        <f>-Expenses!E143</f>
        <v>-15.135037000000001</v>
      </c>
      <c r="F15" s="37">
        <f>-Expenses!F143</f>
        <v>-20.645</v>
      </c>
      <c r="G15" s="37">
        <f>-Expenses!G143</f>
        <v>-24.344999999999999</v>
      </c>
      <c r="H15" s="37">
        <f>-Expenses!H143</f>
        <v>-43.582000000000001</v>
      </c>
      <c r="I15" s="37">
        <f>-Expenses!I143</f>
        <v>-60.753999999999998</v>
      </c>
      <c r="J15" s="2">
        <v>-114.31700000000001</v>
      </c>
      <c r="K15" s="4"/>
      <c r="L15" s="2">
        <v>-34.253</v>
      </c>
    </row>
    <row r="16" spans="2:12" ht="15">
      <c r="B16" s="17" t="s">
        <v>646</v>
      </c>
      <c r="C16" s="18">
        <f>SUM(C14:C15)</f>
        <v>23.476999999999993</v>
      </c>
      <c r="D16" s="18">
        <f t="shared" ref="D16:I16" si="4">SUM(D14:D15)</f>
        <v>35.05599999999999</v>
      </c>
      <c r="E16" s="18">
        <f t="shared" si="4"/>
        <v>62.46125099999999</v>
      </c>
      <c r="F16" s="18">
        <f t="shared" si="4"/>
        <v>110.89299999999996</v>
      </c>
      <c r="G16" s="18">
        <f t="shared" si="4"/>
        <v>299.80700000000002</v>
      </c>
      <c r="H16" s="18">
        <f t="shared" si="4"/>
        <v>643.26299999999992</v>
      </c>
      <c r="I16" s="18">
        <f t="shared" si="4"/>
        <v>437.99999999999977</v>
      </c>
      <c r="J16" s="18">
        <f t="shared" ref="J16:L16" si="5">SUM(J14:J15)</f>
        <v>667.83399999999961</v>
      </c>
      <c r="K16" s="38"/>
      <c r="L16" s="18">
        <f t="shared" si="5"/>
        <v>165.14400000000001</v>
      </c>
    </row>
    <row r="17" spans="2:12" ht="15">
      <c r="B17" s="32" t="s">
        <v>264</v>
      </c>
      <c r="C17" s="33">
        <f>'Revenue &amp; OI'!C22</f>
        <v>0.41</v>
      </c>
      <c r="D17" s="33">
        <f>'Revenue &amp; OI'!D22</f>
        <v>0.28000000000000003</v>
      </c>
      <c r="E17" s="33">
        <f>'Revenue &amp; OI'!E22</f>
        <v>2.70783</v>
      </c>
      <c r="F17" s="33">
        <f>'Revenue &amp; OI'!F22</f>
        <v>1.3359999999999999</v>
      </c>
      <c r="G17" s="33">
        <f>'Revenue &amp; OI'!G22</f>
        <v>4.1630000000000003</v>
      </c>
      <c r="H17" s="33">
        <f>'Revenue &amp; OI'!H22</f>
        <v>13.822999999999999</v>
      </c>
      <c r="I17" s="33">
        <f>'Revenue &amp; OI'!I22</f>
        <v>31.257000000000001</v>
      </c>
      <c r="J17" s="16">
        <v>52.019000000000005</v>
      </c>
      <c r="K17" s="4"/>
      <c r="L17" s="16">
        <v>5.585</v>
      </c>
    </row>
    <row r="18" spans="2:12" ht="15">
      <c r="B18" s="32" t="s">
        <v>580</v>
      </c>
      <c r="C18" s="33">
        <f>-Expenses!C140</f>
        <v>-2.1139999999999999</v>
      </c>
      <c r="D18" s="33">
        <f>-Expenses!D140</f>
        <v>-5.2880000000000003</v>
      </c>
      <c r="E18" s="33">
        <f>-Expenses!E140</f>
        <v>-11.922847000000001</v>
      </c>
      <c r="F18" s="33">
        <f>-Expenses!F140</f>
        <v>-17.018999999999998</v>
      </c>
      <c r="G18" s="33">
        <f>-Expenses!G140</f>
        <v>-24.837</v>
      </c>
      <c r="H18" s="33">
        <f>-Expenses!H140</f>
        <v>-23.300999999999998</v>
      </c>
      <c r="I18" s="33">
        <f>-Expenses!I140</f>
        <v>-39.383000000000003</v>
      </c>
      <c r="J18" s="16">
        <v>-97.878999999999991</v>
      </c>
      <c r="K18" s="4"/>
      <c r="L18" s="16">
        <v>-36.552999999999997</v>
      </c>
    </row>
    <row r="19" spans="2:12" ht="15">
      <c r="B19" s="17" t="s">
        <v>201</v>
      </c>
      <c r="C19" s="18">
        <f>C16+C17+C18</f>
        <v>21.772999999999993</v>
      </c>
      <c r="D19" s="18">
        <f t="shared" ref="D19:I19" si="6">D16+D17+D18</f>
        <v>30.047999999999991</v>
      </c>
      <c r="E19" s="18">
        <f t="shared" si="6"/>
        <v>53.246233999999987</v>
      </c>
      <c r="F19" s="18">
        <f t="shared" si="6"/>
        <v>95.209999999999951</v>
      </c>
      <c r="G19" s="18">
        <f t="shared" si="6"/>
        <v>279.13300000000004</v>
      </c>
      <c r="H19" s="18">
        <f t="shared" si="6"/>
        <v>633.78499999999985</v>
      </c>
      <c r="I19" s="18">
        <f t="shared" si="6"/>
        <v>429.8739999999998</v>
      </c>
      <c r="J19" s="18">
        <f t="shared" ref="J19:L19" si="7">J16+J17+J18</f>
        <v>621.97399999999959</v>
      </c>
      <c r="K19" s="38"/>
      <c r="L19" s="18">
        <f t="shared" si="7"/>
        <v>134.17600000000002</v>
      </c>
    </row>
    <row r="20" spans="2:12" ht="15">
      <c r="B20" s="32" t="s">
        <v>208</v>
      </c>
      <c r="C20" s="37">
        <f>Expenses!C153+Expenses!C171+Expenses!C174</f>
        <v>0</v>
      </c>
      <c r="D20" s="37">
        <f>Expenses!D153+Expenses!D171+Expenses!D174</f>
        <v>0</v>
      </c>
      <c r="E20" s="37">
        <f>Expenses!E153+Expenses!E171+Expenses!E174</f>
        <v>0</v>
      </c>
      <c r="F20" s="37">
        <f>Expenses!F153+Expenses!F171+Expenses!F174</f>
        <v>-0.433</v>
      </c>
      <c r="G20" s="37">
        <f>Expenses!G153+Expenses!G171+Expenses!G174</f>
        <v>0</v>
      </c>
      <c r="H20" s="37">
        <f>Expenses!H153+Expenses!H171+Expenses!H174</f>
        <v>0</v>
      </c>
      <c r="I20" s="37">
        <f>Expenses!I153+Expenses!I171+Expenses!I174</f>
        <v>0</v>
      </c>
      <c r="J20" s="37">
        <f>Expenses!J153+Expenses!J171+Expenses!J174</f>
        <v>0</v>
      </c>
      <c r="K20" s="4"/>
      <c r="L20" s="37">
        <f>Expenses!L153+Expenses!L171+Expenses!L174</f>
        <v>0</v>
      </c>
    </row>
    <row r="21" spans="2:12" ht="15">
      <c r="B21" s="17" t="s">
        <v>648</v>
      </c>
      <c r="C21" s="18">
        <f>SUM(C19:C20)</f>
        <v>21.772999999999993</v>
      </c>
      <c r="D21" s="18">
        <f t="shared" ref="D21:I21" si="8">SUM(D19:D20)</f>
        <v>30.047999999999991</v>
      </c>
      <c r="E21" s="18">
        <f t="shared" si="8"/>
        <v>53.246233999999987</v>
      </c>
      <c r="F21" s="18">
        <f t="shared" si="8"/>
        <v>94.776999999999944</v>
      </c>
      <c r="G21" s="18">
        <f t="shared" si="8"/>
        <v>279.13300000000004</v>
      </c>
      <c r="H21" s="18">
        <f t="shared" si="8"/>
        <v>633.78499999999985</v>
      </c>
      <c r="I21" s="18">
        <f t="shared" si="8"/>
        <v>429.8739999999998</v>
      </c>
      <c r="J21" s="18">
        <f t="shared" ref="J21:L21" si="9">SUM(J19:J20)</f>
        <v>621.97399999999959</v>
      </c>
      <c r="K21" s="38"/>
      <c r="L21" s="18">
        <f t="shared" si="9"/>
        <v>134.17600000000002</v>
      </c>
    </row>
    <row r="22" spans="2:12" ht="6" customHeight="1">
      <c r="B22" s="15"/>
      <c r="C22" s="16"/>
      <c r="D22" s="16"/>
      <c r="E22" s="16"/>
      <c r="F22" s="16"/>
      <c r="G22" s="16"/>
      <c r="H22" s="16"/>
      <c r="I22" s="16"/>
      <c r="J22" s="16"/>
      <c r="L22" s="16"/>
    </row>
    <row r="23" spans="2:12" ht="15">
      <c r="B23" s="32" t="s">
        <v>649</v>
      </c>
      <c r="C23" s="37">
        <f>-Expenses!C167</f>
        <v>-7.391</v>
      </c>
      <c r="D23" s="37">
        <f>-Expenses!D167</f>
        <v>-2.9560000000000004</v>
      </c>
      <c r="E23" s="37">
        <f>-Expenses!E167</f>
        <v>-10.705073000000001</v>
      </c>
      <c r="F23" s="37">
        <f>-Expenses!F167</f>
        <v>-26.457000000000001</v>
      </c>
      <c r="G23" s="37">
        <f>-Expenses!G167</f>
        <v>-71.400000000000006</v>
      </c>
      <c r="H23" s="37">
        <f>-Expenses!H167</f>
        <v>-161.791</v>
      </c>
      <c r="I23" s="37">
        <f>-Expenses!I167</f>
        <v>-99.844999999999999</v>
      </c>
      <c r="J23" s="16">
        <f>(-1024.07-235.53)/10</f>
        <v>-125.96</v>
      </c>
      <c r="K23" s="4"/>
      <c r="L23" s="16">
        <f>(-154.16-79.13)/10</f>
        <v>-23.329000000000001</v>
      </c>
    </row>
    <row r="24" spans="2:12" ht="15">
      <c r="B24" s="17" t="s">
        <v>650</v>
      </c>
      <c r="C24" s="18">
        <f>C21+C23</f>
        <v>14.381999999999993</v>
      </c>
      <c r="D24" s="18">
        <f t="shared" ref="D24:I24" si="10">D21+D23</f>
        <v>27.091999999999992</v>
      </c>
      <c r="E24" s="18">
        <f t="shared" si="10"/>
        <v>42.541160999999988</v>
      </c>
      <c r="F24" s="18">
        <f t="shared" si="10"/>
        <v>68.319999999999936</v>
      </c>
      <c r="G24" s="18">
        <f t="shared" si="10"/>
        <v>207.73300000000003</v>
      </c>
      <c r="H24" s="18">
        <f t="shared" si="10"/>
        <v>471.99399999999986</v>
      </c>
      <c r="I24" s="18">
        <f t="shared" si="10"/>
        <v>330.02899999999977</v>
      </c>
      <c r="J24" s="115">
        <f t="shared" ref="J24:L24" si="11">J21+J23</f>
        <v>496.01399999999961</v>
      </c>
      <c r="K24" s="38"/>
      <c r="L24" s="115">
        <f t="shared" si="11"/>
        <v>110.84700000000001</v>
      </c>
    </row>
    <row r="25" spans="2:12" ht="15">
      <c r="B25" s="32" t="s">
        <v>222</v>
      </c>
      <c r="C25" s="33">
        <f>Expenses!C172</f>
        <v>-1.202</v>
      </c>
      <c r="D25" s="33">
        <f>Expenses!D172</f>
        <v>-8.0760000000000005</v>
      </c>
      <c r="E25" s="33">
        <f>Expenses!E172</f>
        <v>-2.5924049999999998</v>
      </c>
      <c r="F25" s="33">
        <f>Expenses!F172</f>
        <v>-1.2909999999999999</v>
      </c>
      <c r="G25" s="33">
        <f>Expenses!G172</f>
        <v>-5.0999999999999996</v>
      </c>
      <c r="H25" s="33">
        <f>Expenses!H172</f>
        <v>-1.534</v>
      </c>
      <c r="I25" s="33">
        <f>Expenses!I172</f>
        <v>0.77900000000000003</v>
      </c>
      <c r="J25" s="33">
        <f>Expenses!J172</f>
        <v>0</v>
      </c>
      <c r="K25" s="4"/>
      <c r="L25" s="33">
        <f>Expenses!L172</f>
        <v>0</v>
      </c>
    </row>
    <row r="26" spans="2:12" ht="15">
      <c r="B26" s="32" t="s">
        <v>223</v>
      </c>
      <c r="C26" s="37">
        <f>Expenses!C173</f>
        <v>0</v>
      </c>
      <c r="D26" s="37">
        <f>Expenses!D173</f>
        <v>0</v>
      </c>
      <c r="E26" s="37">
        <f>Expenses!E173</f>
        <v>-5.4058960000000003</v>
      </c>
      <c r="F26" s="37">
        <f>Expenses!F173</f>
        <v>-1.788</v>
      </c>
      <c r="G26" s="37">
        <f>Expenses!G173</f>
        <v>-8.7609999999999992</v>
      </c>
      <c r="H26" s="37">
        <f>Expenses!H173</f>
        <v>-4.4669999999999996</v>
      </c>
      <c r="I26" s="37">
        <f>Expenses!I173</f>
        <v>-58.368000000000002</v>
      </c>
      <c r="J26" s="37">
        <f>Expenses!J173</f>
        <v>0</v>
      </c>
      <c r="K26" s="4"/>
      <c r="L26" s="37">
        <f>Expenses!L173</f>
        <v>0</v>
      </c>
    </row>
    <row r="27" spans="2:12" ht="15.75" thickBot="1">
      <c r="B27" s="17" t="s">
        <v>651</v>
      </c>
      <c r="C27" s="6">
        <f>SUM(C24:C26)</f>
        <v>13.179999999999993</v>
      </c>
      <c r="D27" s="6">
        <f t="shared" ref="D27:I27" si="12">SUM(D24:D26)</f>
        <v>19.015999999999991</v>
      </c>
      <c r="E27" s="6">
        <f t="shared" si="12"/>
        <v>34.54285999999999</v>
      </c>
      <c r="F27" s="6">
        <f t="shared" si="12"/>
        <v>65.240999999999943</v>
      </c>
      <c r="G27" s="6">
        <f t="shared" si="12"/>
        <v>193.87200000000004</v>
      </c>
      <c r="H27" s="6">
        <f t="shared" si="12"/>
        <v>465.99299999999988</v>
      </c>
      <c r="I27" s="6">
        <f t="shared" si="12"/>
        <v>272.43999999999977</v>
      </c>
      <c r="J27" s="6">
        <f t="shared" ref="J27:L27" si="13">SUM(J24:J26)</f>
        <v>496.01399999999961</v>
      </c>
      <c r="K27" s="38"/>
      <c r="L27" s="6">
        <f t="shared" si="13"/>
        <v>110.84700000000001</v>
      </c>
    </row>
    <row r="28" spans="2:12" ht="6" customHeight="1" thickTop="1">
      <c r="B28" s="15"/>
      <c r="C28" s="16"/>
      <c r="D28" s="16"/>
      <c r="E28" s="16"/>
      <c r="F28" s="16"/>
      <c r="G28" s="16"/>
      <c r="H28" s="16"/>
      <c r="I28" s="16"/>
      <c r="J28" s="16"/>
      <c r="L28" s="16"/>
    </row>
    <row r="29" spans="2:12" ht="15">
      <c r="B29" s="32" t="s">
        <v>594</v>
      </c>
      <c r="C29" s="42">
        <f>+'CF Dashboard'!C32</f>
        <v>65.0441</v>
      </c>
      <c r="D29" s="42">
        <f>+'CF Dashboard'!D32</f>
        <v>69.171300000000002</v>
      </c>
      <c r="E29" s="42">
        <f>+'CF Dashboard'!E32</f>
        <v>76.152199999999993</v>
      </c>
      <c r="F29" s="42">
        <f>+'CF Dashboard'!F32</f>
        <v>73.5047</v>
      </c>
      <c r="G29" s="42">
        <f>+'CF Dashboard'!G32</f>
        <v>75.807100000000005</v>
      </c>
      <c r="H29" s="42">
        <f>+'CF Dashboard'!H32</f>
        <v>82.216899999999995</v>
      </c>
      <c r="I29" s="42">
        <f>+'CF Dashboard'!I32</f>
        <v>83.373900000000006</v>
      </c>
      <c r="J29" s="42">
        <f>+'CF Dashboard'!J32</f>
        <v>85.58</v>
      </c>
      <c r="K29" s="4"/>
      <c r="L29" s="42">
        <f>+'CF Dashboard'!L32</f>
        <v>0</v>
      </c>
    </row>
    <row r="30" spans="2:12" ht="6" customHeight="1">
      <c r="B30" s="15"/>
      <c r="C30" s="16"/>
      <c r="D30" s="16"/>
      <c r="E30" s="16"/>
      <c r="F30" s="16"/>
      <c r="G30" s="16"/>
      <c r="H30" s="16"/>
      <c r="I30" s="16"/>
      <c r="J30" s="16"/>
      <c r="L30" s="16"/>
    </row>
    <row r="31" spans="2:12" ht="15">
      <c r="B31" s="27" t="s">
        <v>652</v>
      </c>
      <c r="C31" s="28"/>
      <c r="D31" s="28"/>
      <c r="E31" s="28"/>
      <c r="F31" s="28"/>
      <c r="G31" s="28"/>
      <c r="H31" s="28"/>
      <c r="I31" s="28"/>
      <c r="J31" s="28"/>
      <c r="K31" s="36"/>
      <c r="L31" s="28"/>
    </row>
    <row r="32" spans="2:12" ht="15">
      <c r="B32" s="48" t="s">
        <v>653</v>
      </c>
      <c r="C32" s="50">
        <f>IF(C6=0,"NA",C8/C6)</f>
        <v>0.42721844371704282</v>
      </c>
      <c r="D32" s="50">
        <f t="shared" ref="D32:I32" si="14">IF(D6=0,"NA",D8/D6)</f>
        <v>0.7191876750700279</v>
      </c>
      <c r="E32" s="50">
        <f t="shared" si="14"/>
        <v>0.48886246478327261</v>
      </c>
      <c r="F32" s="50">
        <f t="shared" si="14"/>
        <v>0.516858861493531</v>
      </c>
      <c r="G32" s="50">
        <f t="shared" si="14"/>
        <v>0.62284903520586254</v>
      </c>
      <c r="H32" s="50">
        <f t="shared" si="14"/>
        <v>0.38467599796754415</v>
      </c>
      <c r="I32" s="50">
        <f t="shared" si="14"/>
        <v>0.3959528826633068</v>
      </c>
      <c r="J32" s="50">
        <f t="shared" ref="J32:L32" si="15">IF(J6=0,"NA",J8/J6)</f>
        <v>0.52618223507237161</v>
      </c>
      <c r="K32" s="51"/>
      <c r="L32" s="50">
        <f t="shared" si="15"/>
        <v>0.53009107881463446</v>
      </c>
    </row>
    <row r="33" spans="2:12" ht="15">
      <c r="B33" s="48" t="s">
        <v>654</v>
      </c>
      <c r="C33" s="50">
        <f>IF(C6=0,"NA",C14/C6)</f>
        <v>0.24091350734371605</v>
      </c>
      <c r="D33" s="50">
        <f t="shared" ref="D33:I33" si="16">IF(D6=0,"NA",D14/D6)</f>
        <v>0.40739268680445145</v>
      </c>
      <c r="E33" s="50">
        <f t="shared" si="16"/>
        <v>0.32455104162278459</v>
      </c>
      <c r="F33" s="50">
        <f t="shared" si="16"/>
        <v>0.39522026789094455</v>
      </c>
      <c r="G33" s="50">
        <f t="shared" si="16"/>
        <v>0.53047230809261892</v>
      </c>
      <c r="H33" s="50">
        <f t="shared" si="16"/>
        <v>0.34081593969322616</v>
      </c>
      <c r="I33" s="50">
        <f t="shared" si="16"/>
        <v>0.30489335389780475</v>
      </c>
      <c r="J33" s="50">
        <f t="shared" ref="J33:L33" si="17">IF(J6=0,"NA",J14/J6)</f>
        <v>0.3896985003490166</v>
      </c>
      <c r="K33" s="51"/>
      <c r="L33" s="50">
        <f t="shared" si="17"/>
        <v>0.41134410875821303</v>
      </c>
    </row>
    <row r="34" spans="2:12" ht="15">
      <c r="B34" s="48" t="s">
        <v>648</v>
      </c>
      <c r="C34" s="50">
        <f>IF(C6=0,"NA",C21/C6)</f>
        <v>0.2053882217547566</v>
      </c>
      <c r="D34" s="50">
        <f t="shared" ref="D34:I34" si="18">IF(D6=0,"NA",D21/D6)</f>
        <v>0.28435157846922543</v>
      </c>
      <c r="E34" s="50">
        <f t="shared" si="18"/>
        <v>0.2227055076035406</v>
      </c>
      <c r="F34" s="50">
        <f t="shared" si="18"/>
        <v>0.28476783385713667</v>
      </c>
      <c r="G34" s="50">
        <f t="shared" si="18"/>
        <v>0.45679905345275373</v>
      </c>
      <c r="H34" s="50">
        <f t="shared" si="18"/>
        <v>0.3144873011210263</v>
      </c>
      <c r="I34" s="50">
        <f t="shared" si="18"/>
        <v>0.26278631472322006</v>
      </c>
      <c r="J34" s="50">
        <f t="shared" ref="J34:L34" si="19">IF(J6=0,"NA",J21/J6)</f>
        <v>0.30989199662990807</v>
      </c>
      <c r="K34" s="51"/>
      <c r="L34" s="50">
        <f t="shared" si="19"/>
        <v>0.27679707887652272</v>
      </c>
    </row>
    <row r="35" spans="2:12" ht="15">
      <c r="B35" s="48" t="s">
        <v>655</v>
      </c>
      <c r="C35" s="50">
        <f>IF(C6=0,"NA",C24/C6)</f>
        <v>0.13566772632512328</v>
      </c>
      <c r="D35" s="50">
        <f t="shared" ref="D35:I35" si="20">IF(D6=0,"NA",D24/D6)</f>
        <v>0.25637822696646217</v>
      </c>
      <c r="E35" s="50">
        <f t="shared" si="20"/>
        <v>0.17793090971558562</v>
      </c>
      <c r="F35" s="50">
        <f t="shared" si="20"/>
        <v>0.20527489168384283</v>
      </c>
      <c r="G35" s="50">
        <f t="shared" si="20"/>
        <v>0.33995349088391874</v>
      </c>
      <c r="H35" s="50">
        <f t="shared" si="20"/>
        <v>0.2342057940868239</v>
      </c>
      <c r="I35" s="50">
        <f t="shared" si="20"/>
        <v>0.20175005853294123</v>
      </c>
      <c r="J35" s="50">
        <f t="shared" ref="J35:L35" si="21">IF(J6=0,"NA",J24/J6)</f>
        <v>0.24713375288418357</v>
      </c>
      <c r="K35" s="51"/>
      <c r="L35" s="50">
        <f t="shared" si="21"/>
        <v>0.22867074441201046</v>
      </c>
    </row>
    <row r="36" spans="2:12" ht="6" customHeight="1">
      <c r="B36" s="15"/>
      <c r="C36" s="16"/>
      <c r="D36" s="16"/>
      <c r="E36" s="16"/>
      <c r="F36" s="16"/>
      <c r="G36" s="16"/>
      <c r="H36" s="16"/>
      <c r="I36" s="16"/>
      <c r="J36" s="16"/>
      <c r="L36" s="16"/>
    </row>
    <row r="37" spans="2:12" ht="15">
      <c r="B37" s="27" t="s">
        <v>656</v>
      </c>
      <c r="C37" s="28"/>
      <c r="D37" s="28"/>
      <c r="E37" s="28"/>
      <c r="F37" s="28"/>
      <c r="G37" s="28"/>
      <c r="H37" s="28"/>
      <c r="I37" s="28"/>
      <c r="J37" s="28"/>
      <c r="K37" s="36"/>
      <c r="L37" s="28"/>
    </row>
    <row r="38" spans="2:12" ht="15">
      <c r="B38" s="48" t="s">
        <v>657</v>
      </c>
      <c r="C38" s="50" t="s">
        <v>634</v>
      </c>
      <c r="D38" s="50">
        <f t="shared" ref="D38:L41" si="22">IF(C6=0,"NA", (D6/ABS(C6)-1))</f>
        <v>-3.1789753700157686E-3</v>
      </c>
      <c r="E38" s="50">
        <f t="shared" si="22"/>
        <v>1.2625490953138012</v>
      </c>
      <c r="F38" s="50">
        <f t="shared" si="22"/>
        <v>0.39204760381035797</v>
      </c>
      <c r="G38" s="50">
        <f t="shared" si="22"/>
        <v>0.83600543233319913</v>
      </c>
      <c r="H38" s="50">
        <f t="shared" si="22"/>
        <v>2.2980167347720286</v>
      </c>
      <c r="I38" s="50">
        <f t="shared" si="22"/>
        <v>-0.18829243942329077</v>
      </c>
      <c r="J38" s="50">
        <f t="shared" si="22"/>
        <v>0.22694031351649402</v>
      </c>
      <c r="K38" s="51"/>
      <c r="L38" s="50" t="str">
        <f t="shared" si="22"/>
        <v>NA</v>
      </c>
    </row>
    <row r="39" spans="2:12" ht="15">
      <c r="B39" s="48" t="s">
        <v>658</v>
      </c>
      <c r="C39" s="50" t="s">
        <v>634</v>
      </c>
      <c r="D39" s="50">
        <f t="shared" ref="D39:L39" si="23">IF(C14=0,"NA", (D14/ABS(C14)-1))</f>
        <v>0.6856572301186421</v>
      </c>
      <c r="E39" s="50">
        <f t="shared" si="23"/>
        <v>0.80246894308943095</v>
      </c>
      <c r="F39" s="50">
        <f t="shared" si="23"/>
        <v>0.69515840757743441</v>
      </c>
      <c r="G39" s="50">
        <f t="shared" si="23"/>
        <v>1.4643220970365984</v>
      </c>
      <c r="H39" s="50">
        <f t="shared" si="23"/>
        <v>1.1188979244305139</v>
      </c>
      <c r="I39" s="50">
        <f t="shared" si="23"/>
        <v>-0.27384781136937764</v>
      </c>
      <c r="J39" s="50">
        <f t="shared" si="23"/>
        <v>0.56820997926833661</v>
      </c>
      <c r="K39" s="51"/>
      <c r="L39" s="50" t="str">
        <f t="shared" si="22"/>
        <v>NA</v>
      </c>
    </row>
    <row r="40" spans="2:12" ht="15">
      <c r="B40" s="48" t="s">
        <v>647</v>
      </c>
      <c r="C40" s="50" t="s">
        <v>634</v>
      </c>
      <c r="D40" s="50">
        <f t="shared" ref="D40:L40" si="24">IF(C21=0,"NA", (D21/ABS(C21)-1))</f>
        <v>0.38005786983879131</v>
      </c>
      <c r="E40" s="50">
        <f t="shared" si="24"/>
        <v>0.77203920394036207</v>
      </c>
      <c r="F40" s="50">
        <f t="shared" si="24"/>
        <v>0.77997565048450124</v>
      </c>
      <c r="G40" s="50">
        <f t="shared" si="24"/>
        <v>1.945155470209019</v>
      </c>
      <c r="H40" s="50">
        <f t="shared" si="24"/>
        <v>1.270548448230771</v>
      </c>
      <c r="I40" s="50">
        <f t="shared" si="24"/>
        <v>-0.32173528878089586</v>
      </c>
      <c r="J40" s="50">
        <f t="shared" si="24"/>
        <v>0.44687513085229602</v>
      </c>
      <c r="K40" s="51"/>
      <c r="L40" s="50" t="str">
        <f t="shared" si="22"/>
        <v>NA</v>
      </c>
    </row>
    <row r="41" spans="2:12" ht="15">
      <c r="B41" s="48" t="s">
        <v>659</v>
      </c>
      <c r="C41" s="50" t="s">
        <v>634</v>
      </c>
      <c r="D41" s="50">
        <f t="shared" ref="D41:L41" si="25">IF(C27=0,"NA", (D27/ABS(C27)-1))</f>
        <v>0.4427921092564493</v>
      </c>
      <c r="E41" s="50">
        <f t="shared" si="25"/>
        <v>0.81651556583929352</v>
      </c>
      <c r="F41" s="50">
        <f t="shared" si="25"/>
        <v>0.88869711425168507</v>
      </c>
      <c r="G41" s="50">
        <f t="shared" si="25"/>
        <v>1.9716282705660584</v>
      </c>
      <c r="H41" s="50">
        <f t="shared" si="25"/>
        <v>1.4036116613023015</v>
      </c>
      <c r="I41" s="50">
        <f t="shared" si="25"/>
        <v>-0.41535602466131505</v>
      </c>
      <c r="J41" s="50">
        <f t="shared" si="25"/>
        <v>0.82063573630891207</v>
      </c>
      <c r="K41" s="51"/>
      <c r="L41" s="50" t="str">
        <f t="shared" si="22"/>
        <v>NA</v>
      </c>
    </row>
    <row r="42" spans="2:12" ht="6" customHeight="1">
      <c r="C42" s="25"/>
      <c r="D42" s="25"/>
      <c r="E42" s="25"/>
      <c r="F42" s="25"/>
      <c r="G42" s="25"/>
      <c r="H42" s="25"/>
      <c r="I42" s="25"/>
      <c r="J42" s="25"/>
      <c r="L42" s="25"/>
    </row>
    <row r="43" spans="2:12" ht="15">
      <c r="B43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1B9-9B56-485D-AD2A-635DB4AD8443}">
  <sheetPr>
    <pageSetUpPr fitToPage="1"/>
  </sheetPr>
  <dimension ref="B1:K53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6" sqref="K6"/>
    </sheetView>
  </sheetViews>
  <sheetFormatPr defaultRowHeight="14.25"/>
  <cols>
    <col min="1" max="1" width="0.875" customWidth="1"/>
    <col min="2" max="2" width="66.25" bestFit="1" customWidth="1"/>
    <col min="3" max="10" width="9.625" customWidth="1"/>
    <col min="11" max="11" width="2.625" customWidth="1"/>
  </cols>
  <sheetData>
    <row r="1" spans="2:11" ht="15">
      <c r="B1" s="12" t="str">
        <f>+Cover!B3</f>
        <v>Knowledge Marine &amp; Engineering Works Ltd.</v>
      </c>
    </row>
    <row r="3" spans="2:11" ht="15">
      <c r="B3" s="13" t="s">
        <v>601</v>
      </c>
      <c r="C3" s="14"/>
      <c r="D3" s="14"/>
      <c r="E3" s="14"/>
      <c r="F3" s="14"/>
      <c r="G3" s="14"/>
      <c r="H3" s="14"/>
      <c r="I3" s="14"/>
      <c r="J3" s="14"/>
    </row>
    <row r="4" spans="2:11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683</v>
      </c>
      <c r="K4" s="36"/>
    </row>
    <row r="5" spans="2:11" ht="15">
      <c r="B5" s="8"/>
      <c r="C5" s="10" t="str">
        <f>'Detailed CFS'!C5</f>
        <v>Consolidated</v>
      </c>
      <c r="D5" s="10" t="str">
        <f>'Detailed CFS'!D5</f>
        <v>Consolidated</v>
      </c>
      <c r="E5" s="10" t="str">
        <f>'Detailed CFS'!E5</f>
        <v>Consolidated</v>
      </c>
      <c r="F5" s="10" t="str">
        <f>'Detailed CFS'!F5</f>
        <v>Consolidated</v>
      </c>
      <c r="G5" s="10" t="str">
        <f>'Detailed CFS'!G5</f>
        <v>Consolidated</v>
      </c>
      <c r="H5" s="10" t="str">
        <f>'Detailed CFS'!H5</f>
        <v>Consolidated</v>
      </c>
      <c r="I5" s="10" t="str">
        <f>'Detailed CFS'!I5</f>
        <v>Consolidated</v>
      </c>
      <c r="J5" s="10" t="str">
        <f>I5</f>
        <v>Consolidated</v>
      </c>
    </row>
    <row r="6" spans="2:11" ht="15">
      <c r="B6" s="32" t="s">
        <v>28</v>
      </c>
      <c r="C6" s="33">
        <f>'Detailed CFS'!C6</f>
        <v>21.773</v>
      </c>
      <c r="D6" s="33">
        <f>'Detailed CFS'!D6</f>
        <v>30.047999999999998</v>
      </c>
      <c r="E6" s="33">
        <f>'Detailed CFS'!E6</f>
        <v>53.246232999999997</v>
      </c>
      <c r="F6" s="33">
        <f>'Detailed CFS'!F6</f>
        <v>94.777000000000001</v>
      </c>
      <c r="G6" s="33">
        <f>'Detailed CFS'!G6</f>
        <v>280.07799999999997</v>
      </c>
      <c r="H6" s="33">
        <f>'Detailed CFS'!H6</f>
        <v>633.78399999999999</v>
      </c>
      <c r="I6" s="33">
        <f>'Detailed CFS'!I6</f>
        <v>429.87400000000002</v>
      </c>
      <c r="J6" s="33">
        <f>'Detailed CFS'!J6</f>
        <v>0</v>
      </c>
      <c r="K6" s="4"/>
    </row>
    <row r="7" spans="2:11" ht="15">
      <c r="B7" s="32" t="s">
        <v>579</v>
      </c>
      <c r="C7" s="33">
        <f>'Detailed CFS'!C7+'Detailed CFS'!C8</f>
        <v>2.0619999999999998</v>
      </c>
      <c r="D7" s="33">
        <f>'Detailed CFS'!D7+'Detailed CFS'!D8</f>
        <v>7.9939999999999998</v>
      </c>
      <c r="E7" s="33">
        <f>'Detailed CFS'!E7+'Detailed CFS'!E8</f>
        <v>15.135037000000001</v>
      </c>
      <c r="F7" s="33">
        <f>'Detailed CFS'!F7+'Detailed CFS'!F8</f>
        <v>20.645</v>
      </c>
      <c r="G7" s="33">
        <f>'Detailed CFS'!G7+'Detailed CFS'!G8</f>
        <v>24.344999999999999</v>
      </c>
      <c r="H7" s="33">
        <f>'Detailed CFS'!H7+'Detailed CFS'!H8</f>
        <v>43.582000000000001</v>
      </c>
      <c r="I7" s="33">
        <f>'Detailed CFS'!I7+'Detailed CFS'!I8</f>
        <v>60.753999999999998</v>
      </c>
      <c r="J7" s="33">
        <f>'Detailed CFS'!J7+'Detailed CFS'!J8</f>
        <v>0</v>
      </c>
      <c r="K7" s="4"/>
    </row>
    <row r="8" spans="2:11" ht="15">
      <c r="B8" s="32" t="s">
        <v>580</v>
      </c>
      <c r="C8" s="33">
        <f>'Detailed CFS'!C9</f>
        <v>1.917</v>
      </c>
      <c r="D8" s="33">
        <f>'Detailed CFS'!D9</f>
        <v>5.0990000000000002</v>
      </c>
      <c r="E8" s="33">
        <f>'Detailed CFS'!E9</f>
        <v>11.109093</v>
      </c>
      <c r="F8" s="33">
        <f>'Detailed CFS'!F9</f>
        <v>17.018999999999998</v>
      </c>
      <c r="G8" s="33">
        <f>'Detailed CFS'!G9</f>
        <v>24.837</v>
      </c>
      <c r="H8" s="33">
        <f>'Detailed CFS'!H9</f>
        <v>23.300999999999998</v>
      </c>
      <c r="I8" s="33">
        <f>'Detailed CFS'!I9</f>
        <v>39.383000000000003</v>
      </c>
      <c r="J8" s="33">
        <f>'Detailed CFS'!J9</f>
        <v>0</v>
      </c>
      <c r="K8" s="4"/>
    </row>
    <row r="9" spans="2:11" ht="15">
      <c r="B9" s="32" t="s">
        <v>33</v>
      </c>
      <c r="C9" s="33">
        <f>'Detailed CFS'!C13</f>
        <v>-0.41</v>
      </c>
      <c r="D9" s="33">
        <f>'Detailed CFS'!D13</f>
        <v>-0.28000000000000003</v>
      </c>
      <c r="E9" s="33">
        <f>'Detailed CFS'!E13</f>
        <v>-0.89573499999999995</v>
      </c>
      <c r="F9" s="33">
        <f>'Detailed CFS'!F13</f>
        <v>-1.2</v>
      </c>
      <c r="G9" s="33">
        <f>'Detailed CFS'!G13</f>
        <v>-3.645</v>
      </c>
      <c r="H9" s="33">
        <f>'Detailed CFS'!H13</f>
        <v>-13.804</v>
      </c>
      <c r="I9" s="33">
        <f>'Detailed CFS'!I13</f>
        <v>-31.221</v>
      </c>
      <c r="J9" s="33">
        <f>'Detailed CFS'!J13</f>
        <v>0</v>
      </c>
      <c r="K9" s="4"/>
    </row>
    <row r="10" spans="2:11" ht="15">
      <c r="B10" s="32" t="s">
        <v>30</v>
      </c>
      <c r="C10" s="33">
        <f>'Detailed CFS'!C10</f>
        <v>0</v>
      </c>
      <c r="D10" s="33">
        <f>'Detailed CFS'!D10</f>
        <v>0</v>
      </c>
      <c r="E10" s="33">
        <f>'Detailed CFS'!E10</f>
        <v>0</v>
      </c>
      <c r="F10" s="33">
        <f>'Detailed CFS'!F10</f>
        <v>0</v>
      </c>
      <c r="G10" s="33">
        <f>'Detailed CFS'!G10</f>
        <v>0</v>
      </c>
      <c r="H10" s="33">
        <f>'Detailed CFS'!H10</f>
        <v>0</v>
      </c>
      <c r="I10" s="33">
        <f>'Detailed CFS'!I10</f>
        <v>0</v>
      </c>
      <c r="J10" s="33">
        <f>'Detailed CFS'!J10</f>
        <v>0</v>
      </c>
      <c r="K10" s="4"/>
    </row>
    <row r="11" spans="2:11" ht="15">
      <c r="B11" s="32" t="s">
        <v>38</v>
      </c>
      <c r="C11" s="33">
        <f>'Detailed CFS'!C18+'Detailed CFS'!C23</f>
        <v>0</v>
      </c>
      <c r="D11" s="33">
        <f>'Detailed CFS'!D18+'Detailed CFS'!D23</f>
        <v>3.1429999999999998</v>
      </c>
      <c r="E11" s="33">
        <f>'Detailed CFS'!E18+'Detailed CFS'!E23</f>
        <v>0</v>
      </c>
      <c r="F11" s="33">
        <f>'Detailed CFS'!F18+'Detailed CFS'!F23</f>
        <v>0.49299999999999999</v>
      </c>
      <c r="G11" s="33">
        <f>'Detailed CFS'!G18+'Detailed CFS'!G23</f>
        <v>0.45400000000000001</v>
      </c>
      <c r="H11" s="33">
        <f>'Detailed CFS'!H18+'Detailed CFS'!H23</f>
        <v>-1.7000000000000001E-2</v>
      </c>
      <c r="I11" s="33">
        <f>'Detailed CFS'!I18+'Detailed CFS'!I23</f>
        <v>0</v>
      </c>
      <c r="J11" s="33">
        <f>'Detailed CFS'!J18+'Detailed CFS'!J23</f>
        <v>0</v>
      </c>
      <c r="K11" s="4"/>
    </row>
    <row r="12" spans="2:11" ht="15">
      <c r="B12" s="32" t="s">
        <v>41</v>
      </c>
      <c r="C12" s="33">
        <f>'Detailed CFS'!C11+'Detailed CFS'!C12+'Detailed CFS'!C14+'Detailed CFS'!C15+'Detailed CFS'!C16+'Detailed CFS'!C17+'Detailed CFS'!C19+'Detailed CFS'!C20+'Detailed CFS'!C21+'Detailed CFS'!C22+'Detailed CFS'!C24+'Detailed CFS'!C25</f>
        <v>0</v>
      </c>
      <c r="D12" s="33">
        <f>'Detailed CFS'!D11+'Detailed CFS'!D12+'Detailed CFS'!D14+'Detailed CFS'!D15+'Detailed CFS'!D16+'Detailed CFS'!D17+'Detailed CFS'!D19+'Detailed CFS'!D20+'Detailed CFS'!D21+'Detailed CFS'!D22+'Detailed CFS'!D24+'Detailed CFS'!D25</f>
        <v>0</v>
      </c>
      <c r="E12" s="33">
        <f>'Detailed CFS'!E11+'Detailed CFS'!E12+'Detailed CFS'!E14+'Detailed CFS'!E15+'Detailed CFS'!E16+'Detailed CFS'!E17+'Detailed CFS'!E19+'Detailed CFS'!E20+'Detailed CFS'!E21+'Detailed CFS'!E22+'Detailed CFS'!E24+'Detailed CFS'!E25</f>
        <v>0</v>
      </c>
      <c r="F12" s="33">
        <f>'Detailed CFS'!F11+'Detailed CFS'!F12+'Detailed CFS'!F14+'Detailed CFS'!F15+'Detailed CFS'!F16+'Detailed CFS'!F17+'Detailed CFS'!F19+'Detailed CFS'!F20+'Detailed CFS'!F21+'Detailed CFS'!F22+'Detailed CFS'!F24+'Detailed CFS'!F25</f>
        <v>0</v>
      </c>
      <c r="G12" s="33">
        <f>'Detailed CFS'!G11+'Detailed CFS'!G12+'Detailed CFS'!G14+'Detailed CFS'!G15+'Detailed CFS'!G16+'Detailed CFS'!G17+'Detailed CFS'!G19+'Detailed CFS'!G20+'Detailed CFS'!G21+'Detailed CFS'!G22+'Detailed CFS'!G24+'Detailed CFS'!G25</f>
        <v>0</v>
      </c>
      <c r="H12" s="33">
        <f>'Detailed CFS'!H11+'Detailed CFS'!H12+'Detailed CFS'!H14+'Detailed CFS'!H15+'Detailed CFS'!H16+'Detailed CFS'!H17+'Detailed CFS'!H19+'Detailed CFS'!H20+'Detailed CFS'!H21+'Detailed CFS'!H22+'Detailed CFS'!H24+'Detailed CFS'!H25</f>
        <v>0.5</v>
      </c>
      <c r="I12" s="33">
        <f>'Detailed CFS'!I11+'Detailed CFS'!I12+'Detailed CFS'!I14+'Detailed CFS'!I15+'Detailed CFS'!I16+'Detailed CFS'!I17+'Detailed CFS'!I19+'Detailed CFS'!I20+'Detailed CFS'!I21+'Detailed CFS'!I22+'Detailed CFS'!I24+'Detailed CFS'!I25</f>
        <v>2.2360000000000002</v>
      </c>
      <c r="J12" s="33">
        <f>'Detailed CFS'!J11+'Detailed CFS'!J12+'Detailed CFS'!J14+'Detailed CFS'!J15+'Detailed CFS'!J16+'Detailed CFS'!J17+'Detailed CFS'!J19+'Detailed CFS'!J20+'Detailed CFS'!J21+'Detailed CFS'!J22+'Detailed CFS'!J24+'Detailed CFS'!J25</f>
        <v>0</v>
      </c>
      <c r="K12" s="4"/>
    </row>
    <row r="13" spans="2:11" ht="15">
      <c r="B13" s="32" t="s">
        <v>39</v>
      </c>
      <c r="C13" s="37">
        <f>'Detailed CFS'!C42+'Detailed CFS'!C43+'Detailed CFS'!C44+'Detailed CFS'!C45</f>
        <v>-3.7069999999999999</v>
      </c>
      <c r="D13" s="37">
        <f>'Detailed CFS'!D42+'Detailed CFS'!D43+'Detailed CFS'!D44+'Detailed CFS'!D45</f>
        <v>-2.9980000000000002</v>
      </c>
      <c r="E13" s="37">
        <f>'Detailed CFS'!E42+'Detailed CFS'!E43+'Detailed CFS'!E44+'Detailed CFS'!E45</f>
        <v>-4.9160589999999997</v>
      </c>
      <c r="F13" s="37">
        <f>'Detailed CFS'!F42+'Detailed CFS'!F43+'Detailed CFS'!F44+'Detailed CFS'!F45</f>
        <v>-18.539000000000001</v>
      </c>
      <c r="G13" s="37">
        <f>'Detailed CFS'!G42+'Detailed CFS'!G43+'Detailed CFS'!G44+'Detailed CFS'!G45</f>
        <v>-62.262</v>
      </c>
      <c r="H13" s="37">
        <f>'Detailed CFS'!H42+'Detailed CFS'!H43+'Detailed CFS'!H44+'Detailed CFS'!H45</f>
        <v>-148.708</v>
      </c>
      <c r="I13" s="37">
        <f>'Detailed CFS'!I42+'Detailed CFS'!I43+'Detailed CFS'!I44+'Detailed CFS'!I45</f>
        <v>-88.119</v>
      </c>
      <c r="J13" s="37">
        <f>'Detailed CFS'!J42+'Detailed CFS'!J43+'Detailed CFS'!J44+'Detailed CFS'!J45</f>
        <v>0</v>
      </c>
      <c r="K13" s="4"/>
    </row>
    <row r="14" spans="2:11" ht="15">
      <c r="B14" s="17" t="s">
        <v>581</v>
      </c>
      <c r="C14" s="18">
        <f>SUM(C6:C13)</f>
        <v>21.635000000000002</v>
      </c>
      <c r="D14" s="18">
        <f t="shared" ref="D14:I14" si="0">SUM(D6:D13)</f>
        <v>43.006000000000007</v>
      </c>
      <c r="E14" s="18">
        <f t="shared" si="0"/>
        <v>73.678568999999996</v>
      </c>
      <c r="F14" s="18">
        <f t="shared" si="0"/>
        <v>113.19500000000001</v>
      </c>
      <c r="G14" s="18">
        <f t="shared" si="0"/>
        <v>263.80700000000002</v>
      </c>
      <c r="H14" s="18">
        <f t="shared" si="0"/>
        <v>538.63800000000003</v>
      </c>
      <c r="I14" s="18">
        <f t="shared" si="0"/>
        <v>412.90700000000004</v>
      </c>
      <c r="J14" s="18">
        <f t="shared" ref="J14" si="1">SUM(J6:J13)</f>
        <v>0</v>
      </c>
      <c r="K14" s="38"/>
    </row>
    <row r="15" spans="2:11" ht="15">
      <c r="B15" s="32" t="s">
        <v>582</v>
      </c>
      <c r="C15" s="33">
        <f>'Detailed CFS'!C28</f>
        <v>-10.29</v>
      </c>
      <c r="D15" s="33">
        <f>'Detailed CFS'!D28</f>
        <v>6.2030000000000003</v>
      </c>
      <c r="E15" s="33">
        <f>'Detailed CFS'!E28</f>
        <v>27.398893000000001</v>
      </c>
      <c r="F15" s="33">
        <f>'Detailed CFS'!F28</f>
        <v>26.327000000000002</v>
      </c>
      <c r="G15" s="33">
        <f>'Detailed CFS'!G28</f>
        <v>-35.459000000000003</v>
      </c>
      <c r="H15" s="33">
        <f>'Detailed CFS'!H28</f>
        <v>-519.05899999999997</v>
      </c>
      <c r="I15" s="33">
        <f>'Detailed CFS'!I28</f>
        <v>123.727</v>
      </c>
      <c r="J15" s="33">
        <f>'Detailed CFS'!J28</f>
        <v>0</v>
      </c>
      <c r="K15" s="4"/>
    </row>
    <row r="16" spans="2:11" ht="15">
      <c r="B16" s="32" t="s">
        <v>583</v>
      </c>
      <c r="C16" s="33">
        <f>'Detailed CFS'!C29</f>
        <v>0</v>
      </c>
      <c r="D16" s="33">
        <f>'Detailed CFS'!D29</f>
        <v>0</v>
      </c>
      <c r="E16" s="33">
        <f>'Detailed CFS'!E29</f>
        <v>0</v>
      </c>
      <c r="F16" s="33">
        <f>'Detailed CFS'!F29</f>
        <v>-0.60299999999999998</v>
      </c>
      <c r="G16" s="33">
        <f>'Detailed CFS'!G29</f>
        <v>1.41</v>
      </c>
      <c r="H16" s="33">
        <f>'Detailed CFS'!H29</f>
        <v>-9.5380000000000003</v>
      </c>
      <c r="I16" s="33">
        <f>'Detailed CFS'!I29</f>
        <v>-0.74</v>
      </c>
      <c r="J16" s="33">
        <f>'Detailed CFS'!J29</f>
        <v>0</v>
      </c>
      <c r="K16" s="4"/>
    </row>
    <row r="17" spans="2:11" ht="15">
      <c r="B17" s="32" t="s">
        <v>584</v>
      </c>
      <c r="C17" s="33">
        <f>'Detailed CFS'!C30+'Detailed CFS'!C31+'Detailed CFS'!C33+'Detailed CFS'!C34+'Detailed CFS'!C37</f>
        <v>-3.7229999999999999</v>
      </c>
      <c r="D17" s="33">
        <f>'Detailed CFS'!D30+'Detailed CFS'!D31+'Detailed CFS'!D33+'Detailed CFS'!D34+'Detailed CFS'!D37</f>
        <v>-8.5890000000000004</v>
      </c>
      <c r="E17" s="33">
        <f>'Detailed CFS'!E30+'Detailed CFS'!E31+'Detailed CFS'!E33+'Detailed CFS'!E34+'Detailed CFS'!E37</f>
        <v>-38.700598999999997</v>
      </c>
      <c r="F17" s="33">
        <f>'Detailed CFS'!F30+'Detailed CFS'!F31+'Detailed CFS'!F33+'Detailed CFS'!F34+'Detailed CFS'!F37</f>
        <v>-59.865000000000002</v>
      </c>
      <c r="G17" s="33">
        <f>'Detailed CFS'!G30+'Detailed CFS'!G31+'Detailed CFS'!G33+'Detailed CFS'!G34+'Detailed CFS'!G37</f>
        <v>2.5460000000000003</v>
      </c>
      <c r="H17" s="33">
        <f>'Detailed CFS'!H30+'Detailed CFS'!H31+'Detailed CFS'!H33+'Detailed CFS'!H34+'Detailed CFS'!H37</f>
        <v>-91.957999999999998</v>
      </c>
      <c r="I17" s="33">
        <f>'Detailed CFS'!I30+'Detailed CFS'!I31+'Detailed CFS'!I33+'Detailed CFS'!I34+'Detailed CFS'!I37</f>
        <v>14.659000000000001</v>
      </c>
      <c r="J17" s="33">
        <f>'Detailed CFS'!J30+'Detailed CFS'!J31+'Detailed CFS'!J33+'Detailed CFS'!J34+'Detailed CFS'!J37</f>
        <v>0</v>
      </c>
      <c r="K17" s="4"/>
    </row>
    <row r="18" spans="2:11" ht="15">
      <c r="B18" s="32" t="s">
        <v>585</v>
      </c>
      <c r="C18" s="33">
        <f>'Detailed CFS'!C32</f>
        <v>22.577000000000002</v>
      </c>
      <c r="D18" s="33">
        <f>'Detailed CFS'!D32</f>
        <v>71.561000000000007</v>
      </c>
      <c r="E18" s="33">
        <f>'Detailed CFS'!E32</f>
        <v>-42.690545</v>
      </c>
      <c r="F18" s="33">
        <f>'Detailed CFS'!F32</f>
        <v>-30.765999999999998</v>
      </c>
      <c r="G18" s="33">
        <f>'Detailed CFS'!G32</f>
        <v>113.614</v>
      </c>
      <c r="H18" s="33">
        <f>'Detailed CFS'!H32</f>
        <v>293.40699999999998</v>
      </c>
      <c r="I18" s="33">
        <f>'Detailed CFS'!I32</f>
        <v>-206.84100000000001</v>
      </c>
      <c r="J18" s="33">
        <f>'Detailed CFS'!J32</f>
        <v>0</v>
      </c>
      <c r="K18" s="4"/>
    </row>
    <row r="19" spans="2:11" ht="15">
      <c r="B19" s="32" t="s">
        <v>586</v>
      </c>
      <c r="C19" s="37">
        <f>'Detailed CFS'!C35+'Detailed CFS'!C36</f>
        <v>0</v>
      </c>
      <c r="D19" s="37">
        <f>'Detailed CFS'!D35+'Detailed CFS'!D36</f>
        <v>0</v>
      </c>
      <c r="E19" s="37">
        <f>'Detailed CFS'!E35+'Detailed CFS'!E36</f>
        <v>0</v>
      </c>
      <c r="F19" s="37">
        <f>'Detailed CFS'!F35+'Detailed CFS'!F36</f>
        <v>0</v>
      </c>
      <c r="G19" s="37">
        <f>'Detailed CFS'!G35+'Detailed CFS'!G36</f>
        <v>0</v>
      </c>
      <c r="H19" s="37">
        <f>'Detailed CFS'!H35+'Detailed CFS'!H36</f>
        <v>0.69</v>
      </c>
      <c r="I19" s="37">
        <f>'Detailed CFS'!I35+'Detailed CFS'!I36</f>
        <v>0.495</v>
      </c>
      <c r="J19" s="37">
        <f>'Detailed CFS'!J35+'Detailed CFS'!J36</f>
        <v>0</v>
      </c>
      <c r="K19" s="4"/>
    </row>
    <row r="20" spans="2:11" ht="15">
      <c r="B20" s="17" t="s">
        <v>56</v>
      </c>
      <c r="C20" s="18">
        <f>SUM(C14:C19)</f>
        <v>30.199000000000005</v>
      </c>
      <c r="D20" s="18">
        <f t="shared" ref="D20:I20" si="2">SUM(D14:D19)</f>
        <v>112.18100000000001</v>
      </c>
      <c r="E20" s="18">
        <f t="shared" si="2"/>
        <v>19.686318</v>
      </c>
      <c r="F20" s="18">
        <f t="shared" si="2"/>
        <v>48.288000000000004</v>
      </c>
      <c r="G20" s="18">
        <f t="shared" si="2"/>
        <v>345.91800000000001</v>
      </c>
      <c r="H20" s="18">
        <f t="shared" si="2"/>
        <v>212.18000000000006</v>
      </c>
      <c r="I20" s="18">
        <f t="shared" si="2"/>
        <v>344.20699999999999</v>
      </c>
      <c r="J20" s="18">
        <v>578.39300000000003</v>
      </c>
      <c r="K20" s="38"/>
    </row>
    <row r="21" spans="2:11" ht="6" customHeight="1">
      <c r="B21" s="15"/>
      <c r="C21" s="16"/>
      <c r="D21" s="16"/>
      <c r="E21" s="16"/>
      <c r="F21" s="16"/>
      <c r="G21" s="16"/>
      <c r="H21" s="16"/>
      <c r="I21" s="16"/>
      <c r="J21" s="16"/>
    </row>
    <row r="22" spans="2:11" ht="15">
      <c r="B22" s="32" t="s">
        <v>587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4"/>
    </row>
    <row r="23" spans="2:11" ht="15">
      <c r="B23" s="32" t="s">
        <v>588</v>
      </c>
      <c r="C23" s="33">
        <f>'Detailed CFS'!C48</f>
        <v>-109.967</v>
      </c>
      <c r="D23" s="33">
        <f>'Detailed CFS'!D48</f>
        <v>-96.066000000000003</v>
      </c>
      <c r="E23" s="33">
        <f>'Detailed CFS'!E48</f>
        <v>-165.895824</v>
      </c>
      <c r="F23" s="33">
        <f>'Detailed CFS'!F48</f>
        <v>-25.535</v>
      </c>
      <c r="G23" s="33">
        <f>'Detailed CFS'!G48</f>
        <v>-290.822</v>
      </c>
      <c r="H23" s="33">
        <f>'Detailed CFS'!H48</f>
        <v>-178.43299999999999</v>
      </c>
      <c r="I23" s="33">
        <f>'Detailed CFS'!I48</f>
        <v>-621.928</v>
      </c>
      <c r="J23" s="33">
        <f>'Detailed CFS'!J48</f>
        <v>0</v>
      </c>
      <c r="K23" s="4"/>
    </row>
    <row r="24" spans="2:11" ht="15">
      <c r="B24" s="32" t="s">
        <v>58</v>
      </c>
      <c r="C24" s="33">
        <f>'Detailed CFS'!C49</f>
        <v>0</v>
      </c>
      <c r="D24" s="33">
        <f>'Detailed CFS'!D49</f>
        <v>1.25</v>
      </c>
      <c r="E24" s="33">
        <f>'Detailed CFS'!E49</f>
        <v>0</v>
      </c>
      <c r="F24" s="33">
        <f>'Detailed CFS'!F49</f>
        <v>11.393000000000001</v>
      </c>
      <c r="G24" s="33">
        <f>'Detailed CFS'!G49</f>
        <v>0</v>
      </c>
      <c r="H24" s="33">
        <f>'Detailed CFS'!H49</f>
        <v>0</v>
      </c>
      <c r="I24" s="33">
        <f>'Detailed CFS'!I49</f>
        <v>0</v>
      </c>
      <c r="J24" s="33">
        <f>'Detailed CFS'!J49</f>
        <v>0</v>
      </c>
      <c r="K24" s="4"/>
    </row>
    <row r="25" spans="2:11" ht="15">
      <c r="B25" s="32" t="s">
        <v>61</v>
      </c>
      <c r="C25" s="33">
        <f>'Detailed CFS'!C52+'Detailed CFS'!C53+'Detailed CFS'!C54</f>
        <v>5.7949999999999999</v>
      </c>
      <c r="D25" s="33">
        <f>'Detailed CFS'!D52+'Detailed CFS'!D53+'Detailed CFS'!D54</f>
        <v>0</v>
      </c>
      <c r="E25" s="33">
        <f>'Detailed CFS'!E52+'Detailed CFS'!E53+'Detailed CFS'!E54</f>
        <v>-1.6309150000000001</v>
      </c>
      <c r="F25" s="33">
        <f>'Detailed CFS'!F52+'Detailed CFS'!F53+'Detailed CFS'!F54</f>
        <v>0</v>
      </c>
      <c r="G25" s="33">
        <f>'Detailed CFS'!G52+'Detailed CFS'!G53+'Detailed CFS'!G54</f>
        <v>0</v>
      </c>
      <c r="H25" s="33">
        <f>'Detailed CFS'!H52+'Detailed CFS'!H53+'Detailed CFS'!H54</f>
        <v>0</v>
      </c>
      <c r="I25" s="33">
        <f>'Detailed CFS'!I52+'Detailed CFS'!I53+'Detailed CFS'!I54</f>
        <v>0</v>
      </c>
      <c r="J25" s="33">
        <f>'Detailed CFS'!J52+'Detailed CFS'!J53+'Detailed CFS'!J54</f>
        <v>0</v>
      </c>
      <c r="K25" s="4"/>
    </row>
    <row r="26" spans="2:11" ht="15">
      <c r="B26" s="32" t="s">
        <v>18</v>
      </c>
      <c r="C26" s="33">
        <f>'Detailed CFS'!C56</f>
        <v>0.41</v>
      </c>
      <c r="D26" s="33">
        <f>'Detailed CFS'!D56</f>
        <v>0.28000000000000003</v>
      </c>
      <c r="E26" s="33">
        <f>'Detailed CFS'!E56</f>
        <v>0</v>
      </c>
      <c r="F26" s="33">
        <f>'Detailed CFS'!F56</f>
        <v>1.18</v>
      </c>
      <c r="G26" s="33">
        <f>'Detailed CFS'!G56</f>
        <v>3.645</v>
      </c>
      <c r="H26" s="33">
        <f>'Detailed CFS'!H56</f>
        <v>13.804</v>
      </c>
      <c r="I26" s="33">
        <f>'Detailed CFS'!I56</f>
        <v>31.221</v>
      </c>
      <c r="J26" s="33">
        <f>'Detailed CFS'!J56</f>
        <v>0</v>
      </c>
      <c r="K26" s="4"/>
    </row>
    <row r="27" spans="2:11" ht="15">
      <c r="B27" s="32" t="s">
        <v>62</v>
      </c>
      <c r="C27" s="33">
        <f>'Detailed CFS'!C55</f>
        <v>0</v>
      </c>
      <c r="D27" s="33">
        <f>'Detailed CFS'!D55</f>
        <v>0</v>
      </c>
      <c r="E27" s="33">
        <f>'Detailed CFS'!E55</f>
        <v>0</v>
      </c>
      <c r="F27" s="33">
        <f>'Detailed CFS'!F55</f>
        <v>0</v>
      </c>
      <c r="G27" s="33">
        <f>'Detailed CFS'!G55</f>
        <v>0</v>
      </c>
      <c r="H27" s="33">
        <f>'Detailed CFS'!H55</f>
        <v>0</v>
      </c>
      <c r="I27" s="33">
        <f>'Detailed CFS'!I55</f>
        <v>0</v>
      </c>
      <c r="J27" s="33">
        <f>'Detailed CFS'!J55</f>
        <v>0</v>
      </c>
      <c r="K27" s="4"/>
    </row>
    <row r="28" spans="2:11" ht="15">
      <c r="B28" s="32" t="s">
        <v>64</v>
      </c>
      <c r="C28" s="37">
        <f>'Detailed CFS'!C50+'Detailed CFS'!C51+'Detailed CFS'!C57+'Detailed CFS'!C58+'Detailed CFS'!C59+'Detailed CFS'!C60+'Detailed CFS'!C61</f>
        <v>0</v>
      </c>
      <c r="D28" s="37">
        <f>'Detailed CFS'!D50+'Detailed CFS'!D51+'Detailed CFS'!D57+'Detailed CFS'!D58+'Detailed CFS'!D59+'Detailed CFS'!D60+'Detailed CFS'!D61</f>
        <v>0</v>
      </c>
      <c r="E28" s="37">
        <f>'Detailed CFS'!E50+'Detailed CFS'!E51+'Detailed CFS'!E57+'Detailed CFS'!E58+'Detailed CFS'!E59+'Detailed CFS'!E60+'Detailed CFS'!E61</f>
        <v>75.286291000000006</v>
      </c>
      <c r="F28" s="37">
        <f>'Detailed CFS'!F50+'Detailed CFS'!F51+'Detailed CFS'!F57+'Detailed CFS'!F58+'Detailed CFS'!F59+'Detailed CFS'!F60+'Detailed CFS'!F61</f>
        <v>-28.536000000000001</v>
      </c>
      <c r="G28" s="37">
        <f>'Detailed CFS'!G50+'Detailed CFS'!G51+'Detailed CFS'!G57+'Detailed CFS'!G58+'Detailed CFS'!G59+'Detailed CFS'!G60+'Detailed CFS'!G61</f>
        <v>-18.079999999999998</v>
      </c>
      <c r="H28" s="37">
        <f>'Detailed CFS'!H50+'Detailed CFS'!H51+'Detailed CFS'!H57+'Detailed CFS'!H58+'Detailed CFS'!H59+'Detailed CFS'!H60+'Detailed CFS'!H61</f>
        <v>-62.905000000000001</v>
      </c>
      <c r="I28" s="37">
        <f>'Detailed CFS'!I50+'Detailed CFS'!I51+'Detailed CFS'!I57+'Detailed CFS'!I58+'Detailed CFS'!I59+'Detailed CFS'!I60+'Detailed CFS'!I61</f>
        <v>-128.852</v>
      </c>
      <c r="J28" s="37">
        <f>'Detailed CFS'!J50+'Detailed CFS'!J51+'Detailed CFS'!J57+'Detailed CFS'!J58+'Detailed CFS'!J59+'Detailed CFS'!J60+'Detailed CFS'!J61</f>
        <v>0</v>
      </c>
      <c r="K28" s="4"/>
    </row>
    <row r="29" spans="2:11" ht="15">
      <c r="B29" s="17" t="s">
        <v>589</v>
      </c>
      <c r="C29" s="18">
        <f>SUM(C22:C28)</f>
        <v>-103.762</v>
      </c>
      <c r="D29" s="18">
        <f t="shared" ref="D29:I29" si="3">SUM(D22:D28)</f>
        <v>-94.536000000000001</v>
      </c>
      <c r="E29" s="18">
        <f t="shared" si="3"/>
        <v>-92.240447999999986</v>
      </c>
      <c r="F29" s="18">
        <f t="shared" si="3"/>
        <v>-41.498000000000005</v>
      </c>
      <c r="G29" s="18">
        <f t="shared" si="3"/>
        <v>-305.25700000000001</v>
      </c>
      <c r="H29" s="18">
        <f t="shared" si="3"/>
        <v>-227.53399999999999</v>
      </c>
      <c r="I29" s="18">
        <f t="shared" si="3"/>
        <v>-719.55899999999997</v>
      </c>
      <c r="J29" s="18">
        <v>-1269.627</v>
      </c>
      <c r="K29" s="38"/>
    </row>
    <row r="30" spans="2:11" ht="6" customHeight="1">
      <c r="B30" s="15"/>
      <c r="C30" s="16"/>
      <c r="D30" s="16"/>
      <c r="E30" s="16"/>
      <c r="F30" s="16"/>
      <c r="G30" s="16"/>
      <c r="H30" s="16"/>
      <c r="I30" s="16"/>
      <c r="J30" s="16"/>
    </row>
    <row r="31" spans="2:11" ht="15">
      <c r="B31" s="32" t="s">
        <v>67</v>
      </c>
      <c r="C31" s="33">
        <f>'Detailed CFS'!C65</f>
        <v>0</v>
      </c>
      <c r="D31" s="33">
        <f>'Detailed CFS'!D65</f>
        <v>30.94</v>
      </c>
      <c r="E31" s="33">
        <f>'Detailed CFS'!E65</f>
        <v>0</v>
      </c>
      <c r="F31" s="33">
        <f>'Detailed CFS'!F65</f>
        <v>0</v>
      </c>
      <c r="G31" s="33">
        <f>'Detailed CFS'!G65</f>
        <v>55.405000000000001</v>
      </c>
      <c r="H31" s="33">
        <f>'Detailed CFS'!H65</f>
        <v>0</v>
      </c>
      <c r="I31" s="33">
        <f>'Detailed CFS'!I65</f>
        <v>375.42099999999999</v>
      </c>
      <c r="J31" s="33">
        <f>'Detailed CFS'!J65</f>
        <v>0</v>
      </c>
      <c r="K31" s="4"/>
    </row>
    <row r="32" spans="2:11" ht="15">
      <c r="B32" s="32" t="s">
        <v>68</v>
      </c>
      <c r="C32" s="33">
        <f>'Detailed CFS'!C66</f>
        <v>0</v>
      </c>
      <c r="D32" s="33">
        <f>'Detailed CFS'!D66</f>
        <v>0</v>
      </c>
      <c r="E32" s="33">
        <f>'Detailed CFS'!E66</f>
        <v>0</v>
      </c>
      <c r="F32" s="33">
        <f>'Detailed CFS'!F66</f>
        <v>0</v>
      </c>
      <c r="G32" s="33">
        <f>'Detailed CFS'!G66</f>
        <v>0</v>
      </c>
      <c r="H32" s="33">
        <f>'Detailed CFS'!H66</f>
        <v>-129.69900000000001</v>
      </c>
      <c r="I32" s="33">
        <f>'Detailed CFS'!I66</f>
        <v>0</v>
      </c>
      <c r="J32" s="33">
        <f>'Detailed CFS'!J66</f>
        <v>0</v>
      </c>
      <c r="K32" s="4"/>
    </row>
    <row r="33" spans="2:11" ht="15">
      <c r="B33" s="32" t="s">
        <v>590</v>
      </c>
      <c r="C33" s="33">
        <f>'Detailed CFS'!C64+'Detailed CFS'!C79</f>
        <v>67.378</v>
      </c>
      <c r="D33" s="33">
        <f>'Detailed CFS'!D64+'Detailed CFS'!D79</f>
        <v>0</v>
      </c>
      <c r="E33" s="33">
        <f>'Detailed CFS'!E64+'Detailed CFS'!E79</f>
        <v>73.373661999999996</v>
      </c>
      <c r="F33" s="33">
        <f>'Detailed CFS'!F64+'Detailed CFS'!F79</f>
        <v>0</v>
      </c>
      <c r="G33" s="33">
        <f>'Detailed CFS'!G64+'Detailed CFS'!G79</f>
        <v>0</v>
      </c>
      <c r="H33" s="33">
        <f>'Detailed CFS'!H64+'Detailed CFS'!H79</f>
        <v>0</v>
      </c>
      <c r="I33" s="33">
        <f>'Detailed CFS'!I64+'Detailed CFS'!I79</f>
        <v>0</v>
      </c>
      <c r="J33" s="33">
        <f>'Detailed CFS'!J64+'Detailed CFS'!J79</f>
        <v>0</v>
      </c>
      <c r="K33" s="4"/>
    </row>
    <row r="34" spans="2:11" ht="15">
      <c r="B34" s="32" t="s">
        <v>75</v>
      </c>
      <c r="C34" s="33">
        <f>'Detailed CFS'!C73</f>
        <v>0</v>
      </c>
      <c r="D34" s="33">
        <f>'Detailed CFS'!D73</f>
        <v>0</v>
      </c>
      <c r="E34" s="33">
        <f>'Detailed CFS'!E73</f>
        <v>0</v>
      </c>
      <c r="F34" s="33">
        <f>'Detailed CFS'!F73</f>
        <v>0</v>
      </c>
      <c r="G34" s="33">
        <f>'Detailed CFS'!G73</f>
        <v>0</v>
      </c>
      <c r="H34" s="33">
        <f>'Detailed CFS'!H73</f>
        <v>0</v>
      </c>
      <c r="I34" s="33">
        <f>'Detailed CFS'!I73</f>
        <v>0</v>
      </c>
      <c r="J34" s="33">
        <f>'Detailed CFS'!J73</f>
        <v>0</v>
      </c>
      <c r="K34" s="4"/>
    </row>
    <row r="35" spans="2:11" ht="15">
      <c r="B35" s="32" t="s">
        <v>76</v>
      </c>
      <c r="C35" s="33">
        <f>'Detailed CFS'!C74+'Detailed CFS'!C75</f>
        <v>0</v>
      </c>
      <c r="D35" s="33">
        <f>'Detailed CFS'!D74+'Detailed CFS'!D75</f>
        <v>24.9</v>
      </c>
      <c r="E35" s="33">
        <f>'Detailed CFS'!E74+'Detailed CFS'!E75</f>
        <v>0</v>
      </c>
      <c r="F35" s="33">
        <f>'Detailed CFS'!F74+'Detailed CFS'!F75</f>
        <v>101.232</v>
      </c>
      <c r="G35" s="33">
        <f>'Detailed CFS'!G74+'Detailed CFS'!G75</f>
        <v>0</v>
      </c>
      <c r="H35" s="33">
        <f>'Detailed CFS'!H74+'Detailed CFS'!H75</f>
        <v>395.5</v>
      </c>
      <c r="I35" s="33">
        <f>'Detailed CFS'!I74+'Detailed CFS'!I75</f>
        <v>0.23</v>
      </c>
      <c r="J35" s="33">
        <f>'Detailed CFS'!J74+'Detailed CFS'!J75</f>
        <v>0</v>
      </c>
      <c r="K35" s="4"/>
    </row>
    <row r="36" spans="2:11" ht="15">
      <c r="B36" s="32" t="s">
        <v>591</v>
      </c>
      <c r="C36" s="33">
        <f>'Detailed CFS'!C76</f>
        <v>0</v>
      </c>
      <c r="D36" s="33">
        <f>'Detailed CFS'!D76</f>
        <v>0</v>
      </c>
      <c r="E36" s="33">
        <f>'Detailed CFS'!E76</f>
        <v>0</v>
      </c>
      <c r="F36" s="33">
        <f>'Detailed CFS'!F76</f>
        <v>0</v>
      </c>
      <c r="G36" s="33">
        <f>'Detailed CFS'!G76</f>
        <v>0</v>
      </c>
      <c r="H36" s="33">
        <f>'Detailed CFS'!H76</f>
        <v>0</v>
      </c>
      <c r="I36" s="33">
        <f>'Detailed CFS'!I76</f>
        <v>0</v>
      </c>
      <c r="J36" s="33">
        <f>'Detailed CFS'!J76</f>
        <v>0</v>
      </c>
      <c r="K36" s="4"/>
    </row>
    <row r="37" spans="2:11" ht="15">
      <c r="B37" s="32" t="s">
        <v>53</v>
      </c>
      <c r="C37" s="33">
        <f>'Detailed CFS'!C78</f>
        <v>-1.917</v>
      </c>
      <c r="D37" s="33">
        <f>'Detailed CFS'!D78</f>
        <v>-5.0990000000000002</v>
      </c>
      <c r="E37" s="33">
        <f>'Detailed CFS'!E78</f>
        <v>-11.109093</v>
      </c>
      <c r="F37" s="33">
        <f>'Detailed CFS'!F78</f>
        <v>-17.018999999999998</v>
      </c>
      <c r="G37" s="33">
        <f>'Detailed CFS'!G78</f>
        <v>-24.837</v>
      </c>
      <c r="H37" s="33">
        <f>'Detailed CFS'!H78</f>
        <v>-23.300999999999998</v>
      </c>
      <c r="I37" s="33">
        <f>'Detailed CFS'!I78</f>
        <v>-39.383000000000003</v>
      </c>
      <c r="J37" s="33">
        <f>'Detailed CFS'!J78</f>
        <v>0</v>
      </c>
      <c r="K37" s="4"/>
    </row>
    <row r="38" spans="2:11" ht="15">
      <c r="B38" s="32" t="s">
        <v>592</v>
      </c>
      <c r="C38" s="37">
        <f>'Detailed CFS'!C67+'Detailed CFS'!C68+'Detailed CFS'!C69+'Detailed CFS'!C70+'Detailed CFS'!C71+'Detailed CFS'!C72+'Detailed CFS'!C77+'Detailed CFS'!C80+'Detailed CFS'!C81+'Detailed CFS'!C82+'Detailed CFS'!C83+'Detailed CFS'!C84</f>
        <v>7.53</v>
      </c>
      <c r="D38" s="37">
        <f>'Detailed CFS'!D67+'Detailed CFS'!D68+'Detailed CFS'!D69+'Detailed CFS'!D70+'Detailed CFS'!D71+'Detailed CFS'!D72+'Detailed CFS'!D77+'Detailed CFS'!D80+'Detailed CFS'!D81+'Detailed CFS'!D82+'Detailed CFS'!D83+'Detailed CFS'!D84</f>
        <v>4.0659999999999998</v>
      </c>
      <c r="E38" s="37">
        <f>'Detailed CFS'!E67+'Detailed CFS'!E68+'Detailed CFS'!E69+'Detailed CFS'!E70+'Detailed CFS'!E71+'Detailed CFS'!E72+'Detailed CFS'!E77+'Detailed CFS'!E80+'Detailed CFS'!E81+'Detailed CFS'!E82+'Detailed CFS'!E83+'Detailed CFS'!E84</f>
        <v>-45.025663000000002</v>
      </c>
      <c r="F38" s="37">
        <f>'Detailed CFS'!F67+'Detailed CFS'!F68+'Detailed CFS'!F69+'Detailed CFS'!F70+'Detailed CFS'!F71+'Detailed CFS'!F72+'Detailed CFS'!F77+'Detailed CFS'!F80+'Detailed CFS'!F81+'Detailed CFS'!F82+'Detailed CFS'!F83+'Detailed CFS'!F84</f>
        <v>8.0969999999999995</v>
      </c>
      <c r="G38" s="37">
        <f>'Detailed CFS'!G67+'Detailed CFS'!G68+'Detailed CFS'!G69+'Detailed CFS'!G70+'Detailed CFS'!G71+'Detailed CFS'!G72+'Detailed CFS'!G77+'Detailed CFS'!G80+'Detailed CFS'!G81+'Detailed CFS'!G82+'Detailed CFS'!G83+'Detailed CFS'!G84</f>
        <v>39.148000000000003</v>
      </c>
      <c r="H38" s="37">
        <f>'Detailed CFS'!H67+'Detailed CFS'!H68+'Detailed CFS'!H69+'Detailed CFS'!H70+'Detailed CFS'!H71+'Detailed CFS'!H72+'Detailed CFS'!H77+'Detailed CFS'!H80+'Detailed CFS'!H81+'Detailed CFS'!H82+'Detailed CFS'!H83+'Detailed CFS'!H84</f>
        <v>107.068</v>
      </c>
      <c r="I38" s="37">
        <f>'Detailed CFS'!I67+'Detailed CFS'!I68+'Detailed CFS'!I69+'Detailed CFS'!I70+'Detailed CFS'!I71+'Detailed CFS'!I72+'Detailed CFS'!I77+'Detailed CFS'!I80+'Detailed CFS'!I81+'Detailed CFS'!I82+'Detailed CFS'!I83+'Detailed CFS'!I84</f>
        <v>-14.829000000000001</v>
      </c>
      <c r="J38" s="37">
        <f>'Detailed CFS'!J67+'Detailed CFS'!J68+'Detailed CFS'!J69+'Detailed CFS'!J70+'Detailed CFS'!J71+'Detailed CFS'!J72+'Detailed CFS'!J77+'Detailed CFS'!J80+'Detailed CFS'!J81+'Detailed CFS'!J82+'Detailed CFS'!J83+'Detailed CFS'!J84</f>
        <v>0</v>
      </c>
      <c r="K38" s="4"/>
    </row>
    <row r="39" spans="2:11" ht="15">
      <c r="B39" s="17" t="s">
        <v>82</v>
      </c>
      <c r="C39" s="3">
        <f>SUM(C31:C38)</f>
        <v>72.991</v>
      </c>
      <c r="D39" s="3">
        <f t="shared" ref="D39:I39" si="4">SUM(D31:D38)</f>
        <v>54.807000000000002</v>
      </c>
      <c r="E39" s="3">
        <f t="shared" si="4"/>
        <v>17.238905999999993</v>
      </c>
      <c r="F39" s="3">
        <f t="shared" si="4"/>
        <v>92.309999999999988</v>
      </c>
      <c r="G39" s="3">
        <f t="shared" si="4"/>
        <v>69.716000000000008</v>
      </c>
      <c r="H39" s="3">
        <f t="shared" si="4"/>
        <v>349.56799999999998</v>
      </c>
      <c r="I39" s="3">
        <f t="shared" si="4"/>
        <v>321.43900000000002</v>
      </c>
      <c r="J39" s="3">
        <v>634.97299999999996</v>
      </c>
      <c r="K39" s="38"/>
    </row>
    <row r="40" spans="2:11" ht="15">
      <c r="B40" s="17" t="s">
        <v>83</v>
      </c>
      <c r="C40" s="3">
        <f>C20+C29+C39</f>
        <v>-0.57199999999998852</v>
      </c>
      <c r="D40" s="3">
        <f t="shared" ref="D40:I40" si="5">D20+D29+D39</f>
        <v>72.452000000000012</v>
      </c>
      <c r="E40" s="3">
        <f t="shared" si="5"/>
        <v>-55.315223999999994</v>
      </c>
      <c r="F40" s="3">
        <f t="shared" si="5"/>
        <v>99.1</v>
      </c>
      <c r="G40" s="3">
        <f t="shared" si="5"/>
        <v>110.37700000000001</v>
      </c>
      <c r="H40" s="3">
        <f t="shared" si="5"/>
        <v>334.21400000000006</v>
      </c>
      <c r="I40" s="3">
        <f t="shared" si="5"/>
        <v>-53.912999999999954</v>
      </c>
      <c r="J40" s="3">
        <f t="shared" ref="J40" si="6">J20+J29+J39</f>
        <v>-56.260999999999967</v>
      </c>
      <c r="K40" s="38"/>
    </row>
    <row r="41" spans="2:11" ht="6" customHeight="1">
      <c r="B41" s="15"/>
      <c r="C41" s="16"/>
      <c r="D41" s="16"/>
      <c r="E41" s="16"/>
      <c r="F41" s="16"/>
      <c r="G41" s="16"/>
      <c r="H41" s="16"/>
      <c r="I41" s="16"/>
      <c r="J41" s="16"/>
    </row>
    <row r="42" spans="2:11" ht="15">
      <c r="B42" s="17" t="s">
        <v>593</v>
      </c>
      <c r="C42" s="18">
        <f>C20+C22-C8</f>
        <v>28.282000000000004</v>
      </c>
      <c r="D42" s="18">
        <f t="shared" ref="D42:I42" si="7">D20+D22-D8</f>
        <v>107.08200000000001</v>
      </c>
      <c r="E42" s="18">
        <f t="shared" si="7"/>
        <v>8.5772250000000003</v>
      </c>
      <c r="F42" s="18">
        <f t="shared" si="7"/>
        <v>31.269000000000005</v>
      </c>
      <c r="G42" s="18">
        <f t="shared" si="7"/>
        <v>321.08100000000002</v>
      </c>
      <c r="H42" s="18">
        <f t="shared" si="7"/>
        <v>188.87900000000008</v>
      </c>
      <c r="I42" s="18">
        <f t="shared" si="7"/>
        <v>304.82400000000001</v>
      </c>
      <c r="J42" s="18">
        <f t="shared" ref="J42" si="8">J20+J22-J8</f>
        <v>578.39300000000003</v>
      </c>
      <c r="K42" s="38"/>
    </row>
    <row r="43" spans="2:11" ht="6" customHeight="1">
      <c r="B43" s="15"/>
      <c r="C43" s="16"/>
      <c r="D43" s="16"/>
      <c r="E43" s="16"/>
      <c r="F43" s="16"/>
      <c r="G43" s="16"/>
      <c r="H43" s="16"/>
      <c r="I43" s="16"/>
      <c r="J43" s="16"/>
    </row>
    <row r="44" spans="2:11" ht="15">
      <c r="B44" s="32" t="s">
        <v>594</v>
      </c>
      <c r="C44" s="42">
        <f>+'CF Dashboard'!C32</f>
        <v>65.0441</v>
      </c>
      <c r="D44" s="42">
        <f>+'CF Dashboard'!D32</f>
        <v>69.171300000000002</v>
      </c>
      <c r="E44" s="42">
        <f>+'CF Dashboard'!E32</f>
        <v>76.152199999999993</v>
      </c>
      <c r="F44" s="42">
        <f>+'CF Dashboard'!F32</f>
        <v>73.5047</v>
      </c>
      <c r="G44" s="42">
        <f>+'CF Dashboard'!G32</f>
        <v>75.807100000000005</v>
      </c>
      <c r="H44" s="42">
        <f>+'CF Dashboard'!H32</f>
        <v>82.216899999999995</v>
      </c>
      <c r="I44" s="42">
        <f>+'CF Dashboard'!I32</f>
        <v>83.373900000000006</v>
      </c>
      <c r="J44" s="42">
        <f>+'CF Dashboard'!J32</f>
        <v>85.58</v>
      </c>
      <c r="K44" s="4"/>
    </row>
    <row r="45" spans="2:11">
      <c r="B45" s="43" t="s">
        <v>595</v>
      </c>
      <c r="C45" s="44"/>
      <c r="D45" s="44"/>
      <c r="E45" s="44"/>
      <c r="F45" s="44"/>
      <c r="G45" s="44"/>
      <c r="H45" s="44"/>
      <c r="I45" s="44"/>
      <c r="J45" s="44"/>
    </row>
    <row r="46" spans="2:11" ht="6" customHeight="1">
      <c r="B46" s="15"/>
      <c r="C46" s="16"/>
      <c r="D46" s="16"/>
      <c r="E46" s="16"/>
      <c r="F46" s="16"/>
      <c r="G46" s="16"/>
      <c r="H46" s="16"/>
      <c r="I46" s="16"/>
      <c r="J46" s="16"/>
    </row>
    <row r="47" spans="2:11" ht="15">
      <c r="B47" s="32" t="s">
        <v>596</v>
      </c>
      <c r="C47" s="33"/>
      <c r="D47" s="33">
        <f t="shared" ref="D47:J47" si="9">+C48</f>
        <v>1.7529999999999999</v>
      </c>
      <c r="E47" s="33">
        <f t="shared" si="9"/>
        <v>74.203000000000003</v>
      </c>
      <c r="F47" s="33">
        <f t="shared" si="9"/>
        <v>16.213160999999999</v>
      </c>
      <c r="G47" s="33">
        <f t="shared" si="9"/>
        <v>115.31200000000001</v>
      </c>
      <c r="H47" s="33">
        <f t="shared" si="9"/>
        <v>225.691</v>
      </c>
      <c r="I47" s="33">
        <f t="shared" si="9"/>
        <v>559.904</v>
      </c>
      <c r="J47" s="33">
        <f t="shared" si="9"/>
        <v>505.99200000000002</v>
      </c>
      <c r="K47" s="4"/>
    </row>
    <row r="48" spans="2:11" ht="15">
      <c r="B48" s="32" t="s">
        <v>597</v>
      </c>
      <c r="C48" s="37">
        <f>+'CF BS'!C38</f>
        <v>1.7529999999999999</v>
      </c>
      <c r="D48" s="37">
        <f>+'CF BS'!D38</f>
        <v>74.203000000000003</v>
      </c>
      <c r="E48" s="37">
        <f>+'CF BS'!E38</f>
        <v>16.213160999999999</v>
      </c>
      <c r="F48" s="37">
        <f>+'CF BS'!F38</f>
        <v>115.31200000000001</v>
      </c>
      <c r="G48" s="37">
        <f>+'CF BS'!G38</f>
        <v>225.691</v>
      </c>
      <c r="H48" s="37">
        <f>+'CF BS'!H38</f>
        <v>559.904</v>
      </c>
      <c r="I48" s="37">
        <f>+'CF BS'!I38</f>
        <v>505.99200000000002</v>
      </c>
      <c r="J48" s="37">
        <f>+'CF BS'!J38</f>
        <v>449.73099999999994</v>
      </c>
      <c r="K48" s="4"/>
    </row>
    <row r="49" spans="2:11" ht="15">
      <c r="B49" s="17" t="s">
        <v>598</v>
      </c>
      <c r="C49" s="18">
        <f>+C48-C47</f>
        <v>1.7529999999999999</v>
      </c>
      <c r="D49" s="18">
        <f t="shared" ref="D49:I49" si="10">+D48-D47</f>
        <v>72.45</v>
      </c>
      <c r="E49" s="18">
        <f t="shared" si="10"/>
        <v>-57.989839000000003</v>
      </c>
      <c r="F49" s="18">
        <f t="shared" si="10"/>
        <v>99.098839000000012</v>
      </c>
      <c r="G49" s="18">
        <f t="shared" si="10"/>
        <v>110.37899999999999</v>
      </c>
      <c r="H49" s="18">
        <f t="shared" si="10"/>
        <v>334.21299999999997</v>
      </c>
      <c r="I49" s="18">
        <f t="shared" si="10"/>
        <v>-53.911999999999978</v>
      </c>
      <c r="J49" s="18">
        <f t="shared" ref="J49" si="11">+J48-J47</f>
        <v>-56.261000000000081</v>
      </c>
      <c r="K49" s="38"/>
    </row>
    <row r="50" spans="2:11" ht="6" customHeight="1">
      <c r="B50" s="15"/>
      <c r="C50" s="16"/>
      <c r="D50" s="16"/>
      <c r="E50" s="16"/>
      <c r="F50" s="16"/>
      <c r="G50" s="16"/>
      <c r="H50" s="16"/>
      <c r="I50" s="16"/>
      <c r="J50" s="16"/>
    </row>
    <row r="51" spans="2:11" ht="15">
      <c r="B51" s="45" t="s">
        <v>599</v>
      </c>
      <c r="C51" s="46">
        <f>+C49-C40</f>
        <v>2.3249999999999886</v>
      </c>
      <c r="D51" s="46">
        <f t="shared" ref="D51:I51" si="12">+D49-D40</f>
        <v>-2.0000000000095497E-3</v>
      </c>
      <c r="E51" s="46">
        <f t="shared" si="12"/>
        <v>-2.67461500000001</v>
      </c>
      <c r="F51" s="46">
        <f t="shared" si="12"/>
        <v>-1.160999999981982E-3</v>
      </c>
      <c r="G51" s="46">
        <f t="shared" si="12"/>
        <v>1.999999999981128E-3</v>
      </c>
      <c r="H51" s="46">
        <f t="shared" si="12"/>
        <v>-1.00000000009004E-3</v>
      </c>
      <c r="I51" s="46">
        <f t="shared" si="12"/>
        <v>9.9999999997635314E-4</v>
      </c>
      <c r="J51" s="46">
        <f t="shared" ref="J51" si="13">+J49-J40</f>
        <v>-1.1368683772161603E-13</v>
      </c>
      <c r="K51" s="4"/>
    </row>
    <row r="52" spans="2:11" ht="6" customHeight="1">
      <c r="C52" s="25"/>
      <c r="D52" s="25"/>
      <c r="E52" s="25"/>
      <c r="F52" s="25"/>
      <c r="G52" s="25"/>
      <c r="H52" s="25"/>
      <c r="I52" s="25"/>
      <c r="J52" s="25"/>
    </row>
    <row r="53" spans="2:11" ht="15">
      <c r="B53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scale="92" fitToHeight="0" orientation="landscape" cellComments="atEnd" r:id="rId1"/>
  <headerFooter>
    <oddFooter>&amp;C Page &amp;P of &amp;N 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2ED5-EADB-45F6-BEBE-AB9CD5C00558}">
  <sheetPr>
    <pageSetUpPr fitToPage="1"/>
  </sheetPr>
  <dimension ref="B1:J57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/>
  <cols>
    <col min="1" max="1" width="2.625" customWidth="1"/>
    <col min="2" max="2" width="36.375" bestFit="1" customWidth="1"/>
    <col min="3" max="9" width="9.625" customWidth="1"/>
  </cols>
  <sheetData>
    <row r="1" spans="2:10" ht="15">
      <c r="B1" s="12" t="str">
        <f>+Cover!B3</f>
        <v>Knowledge Marine &amp; Engineering Works Ltd.</v>
      </c>
    </row>
    <row r="3" spans="2:10" ht="15">
      <c r="B3" s="13" t="s">
        <v>578</v>
      </c>
      <c r="C3" s="14"/>
      <c r="D3" s="14"/>
      <c r="E3" s="14"/>
      <c r="F3" s="14"/>
      <c r="G3" s="14"/>
      <c r="H3" s="14"/>
      <c r="I3" s="14"/>
    </row>
    <row r="4" spans="2:10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4"/>
    </row>
    <row r="5" spans="2:10" ht="15">
      <c r="B5" s="8"/>
      <c r="C5" s="10" t="s">
        <v>9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2:10" ht="15">
      <c r="B6" s="17" t="s">
        <v>534</v>
      </c>
      <c r="C6" s="18"/>
      <c r="D6" s="18"/>
      <c r="E6" s="18"/>
      <c r="F6" s="18"/>
      <c r="G6" s="18"/>
      <c r="H6" s="18"/>
      <c r="I6" s="18"/>
      <c r="J6" s="4"/>
    </row>
    <row r="7" spans="2:10" ht="15">
      <c r="B7" s="29" t="s">
        <v>535</v>
      </c>
      <c r="C7" s="16">
        <v>5</v>
      </c>
      <c r="D7" s="16">
        <v>25</v>
      </c>
      <c r="E7" s="16">
        <v>40</v>
      </c>
      <c r="F7" s="16">
        <v>105</v>
      </c>
      <c r="G7" s="16">
        <v>105</v>
      </c>
      <c r="H7" s="16">
        <v>110</v>
      </c>
      <c r="I7" s="16">
        <v>110</v>
      </c>
    </row>
    <row r="8" spans="2:10" ht="15">
      <c r="B8" s="29" t="s">
        <v>536</v>
      </c>
      <c r="C8" s="16">
        <v>0.1</v>
      </c>
      <c r="D8" s="16">
        <v>25</v>
      </c>
      <c r="E8" s="16">
        <v>25</v>
      </c>
      <c r="F8" s="16">
        <v>102.36</v>
      </c>
      <c r="G8" s="16">
        <v>102.36</v>
      </c>
      <c r="H8" s="16">
        <v>108.01</v>
      </c>
      <c r="I8" s="16">
        <v>108.01</v>
      </c>
    </row>
    <row r="9" spans="2:10" ht="15">
      <c r="B9" s="29" t="s">
        <v>537</v>
      </c>
      <c r="C9" s="16">
        <v>0.1</v>
      </c>
      <c r="D9" s="16">
        <v>25</v>
      </c>
      <c r="E9" s="16">
        <v>25</v>
      </c>
      <c r="F9" s="16">
        <v>102.36</v>
      </c>
      <c r="G9" s="16">
        <v>102.36</v>
      </c>
      <c r="H9" s="16">
        <v>108.01</v>
      </c>
      <c r="I9" s="16">
        <v>108.01</v>
      </c>
    </row>
    <row r="10" spans="2:10" ht="15">
      <c r="B10" s="29" t="s">
        <v>538</v>
      </c>
      <c r="C10" s="16">
        <v>0.1</v>
      </c>
      <c r="D10" s="16">
        <v>25</v>
      </c>
      <c r="E10" s="16">
        <v>25</v>
      </c>
      <c r="F10" s="16">
        <v>102.36</v>
      </c>
      <c r="G10" s="16">
        <v>102.36</v>
      </c>
      <c r="H10" s="16">
        <v>108.01</v>
      </c>
      <c r="I10" s="16">
        <v>108.01</v>
      </c>
    </row>
    <row r="11" spans="2:10" ht="15">
      <c r="B11" s="29" t="s">
        <v>539</v>
      </c>
      <c r="C11" s="16"/>
      <c r="D11" s="16"/>
      <c r="E11" s="16"/>
      <c r="F11" s="16"/>
      <c r="G11" s="16"/>
      <c r="H11" s="16"/>
      <c r="I11" s="16"/>
    </row>
    <row r="12" spans="2:10" ht="15">
      <c r="B12" s="29" t="s">
        <v>540</v>
      </c>
      <c r="C12" s="16">
        <v>0.1</v>
      </c>
      <c r="D12" s="16">
        <v>25</v>
      </c>
      <c r="E12" s="16">
        <v>25</v>
      </c>
      <c r="F12" s="16">
        <v>102.36</v>
      </c>
      <c r="G12" s="16">
        <v>102.36</v>
      </c>
      <c r="H12" s="16">
        <v>108.01</v>
      </c>
      <c r="I12" s="16">
        <v>108.01</v>
      </c>
    </row>
    <row r="13" spans="2:10" ht="15">
      <c r="B13" s="29" t="s">
        <v>541</v>
      </c>
      <c r="C13" s="16"/>
      <c r="D13" s="16"/>
      <c r="E13" s="16"/>
      <c r="F13" s="16"/>
      <c r="G13" s="16"/>
      <c r="H13" s="16"/>
      <c r="I13" s="16"/>
    </row>
    <row r="14" spans="2:10" ht="15">
      <c r="B14" s="29" t="s">
        <v>542</v>
      </c>
      <c r="C14" s="2"/>
      <c r="D14" s="2"/>
      <c r="E14" s="2"/>
      <c r="F14" s="2"/>
      <c r="G14" s="2"/>
      <c r="H14" s="2"/>
      <c r="I14" s="2"/>
    </row>
    <row r="15" spans="2:10" ht="15">
      <c r="B15" s="30" t="s">
        <v>543</v>
      </c>
      <c r="C15" s="3">
        <f>C17+C18</f>
        <v>0</v>
      </c>
      <c r="D15" s="3">
        <f t="shared" ref="D15:I15" si="0">D17+D18</f>
        <v>0</v>
      </c>
      <c r="E15" s="3">
        <f t="shared" si="0"/>
        <v>0</v>
      </c>
      <c r="F15" s="3">
        <f t="shared" si="0"/>
        <v>0</v>
      </c>
      <c r="G15" s="3">
        <f t="shared" si="0"/>
        <v>0</v>
      </c>
      <c r="H15" s="3">
        <f t="shared" si="0"/>
        <v>0</v>
      </c>
      <c r="I15" s="3">
        <f t="shared" si="0"/>
        <v>0</v>
      </c>
      <c r="J15" s="4"/>
    </row>
    <row r="16" spans="2:10" ht="15">
      <c r="B16" s="29" t="s">
        <v>544</v>
      </c>
      <c r="C16" s="16"/>
      <c r="D16" s="16"/>
      <c r="E16" s="16"/>
      <c r="F16" s="16"/>
      <c r="G16" s="16"/>
      <c r="H16" s="16"/>
      <c r="I16" s="16"/>
    </row>
    <row r="17" spans="2:10" ht="15">
      <c r="B17" s="29" t="s">
        <v>545</v>
      </c>
      <c r="C17" s="16"/>
      <c r="D17" s="16"/>
      <c r="E17" s="16"/>
      <c r="F17" s="16"/>
      <c r="G17" s="16"/>
      <c r="H17" s="16"/>
      <c r="I17" s="16"/>
    </row>
    <row r="18" spans="2:10" ht="15">
      <c r="B18" s="29" t="s">
        <v>546</v>
      </c>
      <c r="C18" s="2"/>
      <c r="D18" s="2"/>
      <c r="E18" s="2"/>
      <c r="F18" s="2"/>
      <c r="G18" s="2"/>
      <c r="H18" s="2"/>
      <c r="I18" s="2"/>
    </row>
    <row r="19" spans="2:10" ht="15">
      <c r="B19" s="29" t="s">
        <v>547</v>
      </c>
      <c r="C19" s="19">
        <v>10</v>
      </c>
      <c r="D19" s="19">
        <v>10</v>
      </c>
      <c r="E19" s="19">
        <v>10</v>
      </c>
      <c r="F19" s="19">
        <v>10</v>
      </c>
      <c r="G19" s="19">
        <v>10</v>
      </c>
      <c r="H19" s="19">
        <v>10</v>
      </c>
      <c r="I19" s="19">
        <v>10</v>
      </c>
    </row>
    <row r="20" spans="2:10" ht="15">
      <c r="B20" s="17" t="s">
        <v>548</v>
      </c>
      <c r="C20" s="3">
        <f>SUM(C12:C15,C18)</f>
        <v>0.1</v>
      </c>
      <c r="D20" s="3">
        <f t="shared" ref="D20:I20" si="1">SUM(D12:D15,D18)</f>
        <v>25</v>
      </c>
      <c r="E20" s="3">
        <f t="shared" si="1"/>
        <v>25</v>
      </c>
      <c r="F20" s="3">
        <f t="shared" si="1"/>
        <v>102.36</v>
      </c>
      <c r="G20" s="3">
        <f t="shared" si="1"/>
        <v>102.36</v>
      </c>
      <c r="H20" s="3">
        <f t="shared" si="1"/>
        <v>108.01</v>
      </c>
      <c r="I20" s="3">
        <f t="shared" si="1"/>
        <v>108.01</v>
      </c>
      <c r="J20" s="4"/>
    </row>
    <row r="21" spans="2:10" ht="6" customHeight="1">
      <c r="B21" s="15"/>
      <c r="C21" s="16"/>
      <c r="D21" s="16"/>
      <c r="E21" s="16"/>
      <c r="F21" s="16"/>
      <c r="G21" s="16"/>
      <c r="H21" s="16"/>
      <c r="I21" s="16"/>
    </row>
    <row r="22" spans="2:10" ht="15">
      <c r="B22" s="17" t="s">
        <v>549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4"/>
    </row>
    <row r="23" spans="2:10" ht="6" customHeight="1">
      <c r="B23" s="15"/>
      <c r="C23" s="16"/>
      <c r="D23" s="16"/>
      <c r="E23" s="16"/>
      <c r="F23" s="16"/>
      <c r="G23" s="16"/>
      <c r="H23" s="16"/>
      <c r="I23" s="16"/>
    </row>
    <row r="24" spans="2:10" ht="15">
      <c r="B24" s="29" t="s">
        <v>550</v>
      </c>
      <c r="C24" s="16"/>
      <c r="D24" s="16"/>
      <c r="E24" s="16"/>
      <c r="F24" s="16">
        <v>73.872</v>
      </c>
      <c r="G24" s="16">
        <v>73.872</v>
      </c>
      <c r="H24" s="16">
        <v>463.72199999999998</v>
      </c>
      <c r="I24" s="16">
        <v>463.72199999999998</v>
      </c>
    </row>
    <row r="25" spans="2:10" ht="15">
      <c r="B25" s="29" t="s">
        <v>551</v>
      </c>
      <c r="C25" s="16"/>
      <c r="D25" s="16"/>
      <c r="E25" s="16"/>
      <c r="F25" s="16"/>
      <c r="G25" s="16"/>
      <c r="H25" s="16"/>
      <c r="I25" s="16"/>
    </row>
    <row r="26" spans="2:10" ht="15">
      <c r="B26" s="29" t="s">
        <v>552</v>
      </c>
      <c r="C26" s="16">
        <v>20.239000000000001</v>
      </c>
      <c r="D26" s="16">
        <v>39.256</v>
      </c>
      <c r="E26" s="16">
        <v>62.897733000000002</v>
      </c>
      <c r="F26" s="16">
        <v>77.275000000000006</v>
      </c>
      <c r="G26" s="16">
        <v>272.09199999999998</v>
      </c>
      <c r="H26" s="16">
        <v>738.08500000000004</v>
      </c>
      <c r="I26" s="16">
        <v>1010.631</v>
      </c>
    </row>
    <row r="27" spans="2:10" ht="15">
      <c r="B27" s="29" t="s">
        <v>553</v>
      </c>
      <c r="C27" s="16"/>
      <c r="D27" s="16"/>
      <c r="E27" s="16"/>
      <c r="F27" s="16"/>
      <c r="G27" s="16"/>
      <c r="H27" s="16"/>
      <c r="I27" s="16"/>
    </row>
    <row r="28" spans="2:10" ht="15">
      <c r="B28" s="29" t="s">
        <v>554</v>
      </c>
      <c r="C28" s="16"/>
      <c r="D28" s="16"/>
      <c r="E28" s="16"/>
      <c r="F28" s="16"/>
      <c r="G28" s="16"/>
      <c r="H28" s="16"/>
      <c r="I28" s="16"/>
    </row>
    <row r="29" spans="2:10" ht="15">
      <c r="B29" s="29" t="s">
        <v>555</v>
      </c>
      <c r="C29" s="16"/>
      <c r="D29" s="16"/>
      <c r="E29" s="16"/>
      <c r="F29" s="16"/>
      <c r="G29" s="16"/>
      <c r="H29" s="16"/>
      <c r="I29" s="16"/>
    </row>
    <row r="30" spans="2:10" ht="15">
      <c r="B30" s="29" t="s">
        <v>556</v>
      </c>
      <c r="C30" s="16"/>
      <c r="D30" s="16"/>
      <c r="E30" s="16"/>
      <c r="F30" s="16"/>
      <c r="G30" s="16"/>
      <c r="H30" s="16"/>
      <c r="I30" s="16"/>
    </row>
    <row r="31" spans="2:10" ht="15">
      <c r="B31" s="29" t="s">
        <v>244</v>
      </c>
      <c r="C31" s="16"/>
      <c r="D31" s="16"/>
      <c r="E31" s="16"/>
      <c r="F31" s="16"/>
      <c r="G31" s="16"/>
      <c r="H31" s="16"/>
      <c r="I31" s="16"/>
    </row>
    <row r="32" spans="2:10" ht="15">
      <c r="B32" s="29" t="s">
        <v>557</v>
      </c>
      <c r="C32" s="16"/>
      <c r="D32" s="16"/>
      <c r="E32" s="16"/>
      <c r="F32" s="16"/>
      <c r="G32" s="16"/>
      <c r="H32" s="16"/>
      <c r="I32" s="16"/>
    </row>
    <row r="33" spans="2:9" ht="15">
      <c r="B33" s="29" t="s">
        <v>558</v>
      </c>
      <c r="C33" s="16"/>
      <c r="D33" s="16"/>
      <c r="E33" s="16"/>
      <c r="F33" s="16"/>
      <c r="G33" s="16"/>
      <c r="H33" s="16"/>
      <c r="I33" s="16"/>
    </row>
    <row r="34" spans="2:9" ht="15">
      <c r="B34" s="29" t="s">
        <v>559</v>
      </c>
      <c r="C34" s="16"/>
      <c r="D34" s="16"/>
      <c r="E34" s="16"/>
      <c r="F34" s="16"/>
      <c r="G34" s="16"/>
      <c r="H34" s="16"/>
      <c r="I34" s="16"/>
    </row>
    <row r="35" spans="2:9" ht="15">
      <c r="B35" s="29" t="s">
        <v>560</v>
      </c>
      <c r="C35" s="16"/>
      <c r="D35" s="16"/>
      <c r="E35" s="16"/>
      <c r="F35" s="16"/>
      <c r="G35" s="16"/>
      <c r="H35" s="16"/>
      <c r="I35" s="16"/>
    </row>
    <row r="36" spans="2:9" ht="15">
      <c r="B36" s="29" t="s">
        <v>561</v>
      </c>
      <c r="C36" s="16"/>
      <c r="D36" s="16"/>
      <c r="E36" s="16"/>
      <c r="F36" s="16"/>
      <c r="G36" s="16"/>
      <c r="H36" s="16"/>
      <c r="I36" s="16"/>
    </row>
    <row r="37" spans="2:9" ht="15">
      <c r="B37" s="29" t="s">
        <v>562</v>
      </c>
      <c r="C37" s="16"/>
      <c r="D37" s="16"/>
      <c r="E37" s="16"/>
      <c r="F37" s="16"/>
      <c r="G37" s="16"/>
      <c r="H37" s="16"/>
      <c r="I37" s="16"/>
    </row>
    <row r="38" spans="2:9" ht="15">
      <c r="B38" s="29" t="s">
        <v>563</v>
      </c>
      <c r="C38" s="16"/>
      <c r="D38" s="16"/>
      <c r="E38" s="16"/>
      <c r="F38" s="16"/>
      <c r="G38" s="16"/>
      <c r="H38" s="16"/>
      <c r="I38" s="16"/>
    </row>
    <row r="39" spans="2:9" ht="15">
      <c r="B39" s="29" t="s">
        <v>564</v>
      </c>
      <c r="C39" s="16"/>
      <c r="D39" s="16"/>
      <c r="E39" s="16"/>
      <c r="F39" s="16"/>
      <c r="G39" s="16"/>
      <c r="H39" s="16"/>
      <c r="I39" s="16"/>
    </row>
    <row r="40" spans="2:9" ht="15">
      <c r="B40" s="29" t="s">
        <v>565</v>
      </c>
      <c r="C40" s="16"/>
      <c r="D40" s="16"/>
      <c r="E40" s="16"/>
      <c r="F40" s="16"/>
      <c r="G40" s="16"/>
      <c r="H40" s="16"/>
      <c r="I40" s="16"/>
    </row>
    <row r="41" spans="2:9" ht="15">
      <c r="B41" s="29" t="s">
        <v>566</v>
      </c>
      <c r="C41" s="16"/>
      <c r="D41" s="16"/>
      <c r="E41" s="16"/>
      <c r="F41" s="16"/>
      <c r="G41" s="16"/>
      <c r="H41" s="16"/>
      <c r="I41" s="16"/>
    </row>
    <row r="42" spans="2:9" ht="15">
      <c r="B42" s="29" t="s">
        <v>567</v>
      </c>
      <c r="C42" s="16"/>
      <c r="D42" s="16"/>
      <c r="E42" s="16"/>
      <c r="F42" s="16"/>
      <c r="G42" s="16"/>
      <c r="H42" s="16"/>
      <c r="I42" s="16"/>
    </row>
    <row r="43" spans="2:9" ht="15">
      <c r="B43" s="29" t="s">
        <v>568</v>
      </c>
      <c r="C43" s="16"/>
      <c r="D43" s="16"/>
      <c r="E43" s="16"/>
      <c r="F43" s="16"/>
      <c r="G43" s="16"/>
      <c r="H43" s="16"/>
      <c r="I43" s="16"/>
    </row>
    <row r="44" spans="2:9" ht="15">
      <c r="B44" s="29" t="s">
        <v>569</v>
      </c>
      <c r="C44" s="16"/>
      <c r="D44" s="16"/>
      <c r="E44" s="16"/>
      <c r="F44" s="16"/>
      <c r="G44" s="16"/>
      <c r="H44" s="16"/>
      <c r="I44" s="16"/>
    </row>
    <row r="45" spans="2:9" ht="15">
      <c r="B45" s="29" t="s">
        <v>570</v>
      </c>
      <c r="C45" s="16"/>
      <c r="D45" s="16"/>
      <c r="E45" s="16">
        <v>16.334672000000001</v>
      </c>
      <c r="F45" s="16">
        <v>16.562000000000001</v>
      </c>
      <c r="G45" s="16">
        <v>25.323</v>
      </c>
      <c r="H45" s="16">
        <v>30.202999999999999</v>
      </c>
      <c r="I45" s="16">
        <v>88.561999999999998</v>
      </c>
    </row>
    <row r="46" spans="2:9" ht="15">
      <c r="B46" s="29" t="s">
        <v>571</v>
      </c>
      <c r="C46" s="16"/>
      <c r="D46" s="16"/>
      <c r="E46" s="16"/>
      <c r="F46" s="16"/>
      <c r="G46" s="16"/>
      <c r="H46" s="16"/>
      <c r="I46" s="16"/>
    </row>
    <row r="47" spans="2:9" ht="15">
      <c r="B47" s="15" t="s">
        <v>572</v>
      </c>
      <c r="C47" s="16">
        <v>20.239000000000001</v>
      </c>
      <c r="D47" s="16">
        <v>39.256</v>
      </c>
      <c r="E47" s="16">
        <v>79.232405</v>
      </c>
      <c r="F47" s="16">
        <v>167.709</v>
      </c>
      <c r="G47" s="16">
        <v>371.28699999999998</v>
      </c>
      <c r="H47" s="16">
        <v>1232.01</v>
      </c>
      <c r="I47" s="16">
        <v>1562.915</v>
      </c>
    </row>
    <row r="48" spans="2:9" ht="15">
      <c r="B48" s="29" t="s">
        <v>573</v>
      </c>
      <c r="C48" s="16"/>
      <c r="D48" s="16"/>
      <c r="E48" s="16"/>
      <c r="F48" s="16"/>
      <c r="G48" s="16"/>
      <c r="H48" s="16"/>
      <c r="I48" s="16"/>
    </row>
    <row r="49" spans="2:10" ht="15">
      <c r="B49" s="29" t="s">
        <v>574</v>
      </c>
      <c r="C49" s="2"/>
      <c r="D49" s="2"/>
      <c r="E49" s="2"/>
      <c r="F49" s="2"/>
      <c r="G49" s="2"/>
      <c r="H49" s="2"/>
      <c r="I49" s="2"/>
    </row>
    <row r="50" spans="2:10" ht="15">
      <c r="B50" s="17" t="s">
        <v>575</v>
      </c>
      <c r="C50" s="3">
        <f>SUM(C48:C49)</f>
        <v>0</v>
      </c>
      <c r="D50" s="3">
        <f t="shared" ref="D50:I50" si="2">SUM(D48:D49)</f>
        <v>0</v>
      </c>
      <c r="E50" s="3">
        <f t="shared" si="2"/>
        <v>0</v>
      </c>
      <c r="F50" s="3">
        <f t="shared" si="2"/>
        <v>0</v>
      </c>
      <c r="G50" s="3">
        <f t="shared" si="2"/>
        <v>0</v>
      </c>
      <c r="H50" s="3">
        <f t="shared" si="2"/>
        <v>0</v>
      </c>
      <c r="I50" s="3">
        <f t="shared" si="2"/>
        <v>0</v>
      </c>
      <c r="J50" s="4"/>
    </row>
    <row r="51" spans="2:10" ht="15">
      <c r="B51" s="17" t="s">
        <v>576</v>
      </c>
      <c r="C51" s="3">
        <f>SUM(C24:C46,C50)</f>
        <v>20.239000000000001</v>
      </c>
      <c r="D51" s="3">
        <f t="shared" ref="D51:I51" si="3">SUM(D24:D46,D50)</f>
        <v>39.256</v>
      </c>
      <c r="E51" s="3">
        <f t="shared" si="3"/>
        <v>79.232405</v>
      </c>
      <c r="F51" s="3">
        <f t="shared" si="3"/>
        <v>167.709</v>
      </c>
      <c r="G51" s="3">
        <f t="shared" si="3"/>
        <v>371.28699999999998</v>
      </c>
      <c r="H51" s="3">
        <f t="shared" si="3"/>
        <v>1232.01</v>
      </c>
      <c r="I51" s="3">
        <f t="shared" si="3"/>
        <v>1562.915</v>
      </c>
      <c r="J51" s="4"/>
    </row>
    <row r="52" spans="2:10" ht="6" customHeight="1">
      <c r="B52" s="15"/>
      <c r="C52" s="19"/>
      <c r="D52" s="19"/>
      <c r="E52" s="19"/>
      <c r="F52" s="19"/>
      <c r="G52" s="19"/>
      <c r="H52" s="19"/>
      <c r="I52" s="19"/>
    </row>
    <row r="53" spans="2:10" ht="15.75" thickBot="1">
      <c r="B53" s="17" t="s">
        <v>577</v>
      </c>
      <c r="C53" s="6">
        <f>C20+C22+C51</f>
        <v>20.339000000000002</v>
      </c>
      <c r="D53" s="6">
        <f t="shared" ref="D53:I53" si="4">D20+D22+D51</f>
        <v>64.256</v>
      </c>
      <c r="E53" s="6">
        <f t="shared" si="4"/>
        <v>104.232405</v>
      </c>
      <c r="F53" s="6">
        <f t="shared" si="4"/>
        <v>270.06900000000002</v>
      </c>
      <c r="G53" s="6">
        <f t="shared" si="4"/>
        <v>473.64699999999999</v>
      </c>
      <c r="H53" s="6">
        <f t="shared" si="4"/>
        <v>1340.02</v>
      </c>
      <c r="I53" s="6">
        <f t="shared" si="4"/>
        <v>1670.925</v>
      </c>
      <c r="J53" s="4"/>
    </row>
    <row r="54" spans="2:10" ht="6" customHeight="1" thickTop="1">
      <c r="B54" s="15"/>
      <c r="C54" s="16"/>
      <c r="D54" s="16"/>
      <c r="E54" s="16"/>
      <c r="F54" s="16"/>
      <c r="G54" s="16"/>
      <c r="H54" s="16"/>
      <c r="I54" s="16"/>
    </row>
    <row r="55" spans="2:10" ht="15">
      <c r="B55" s="15" t="s">
        <v>222</v>
      </c>
      <c r="C55" s="16">
        <v>8.7319999999999993</v>
      </c>
      <c r="D55" s="16">
        <v>16.806999999999999</v>
      </c>
      <c r="E55" s="16">
        <v>19.425947000000001</v>
      </c>
      <c r="F55" s="16">
        <v>19.141999999999999</v>
      </c>
      <c r="G55" s="16">
        <v>24.242000000000001</v>
      </c>
      <c r="H55" s="16">
        <v>26.189</v>
      </c>
      <c r="I55" s="16">
        <v>25.643999999999998</v>
      </c>
    </row>
    <row r="56" spans="2:10" ht="6" customHeight="1">
      <c r="C56" s="25"/>
      <c r="D56" s="25"/>
      <c r="E56" s="25"/>
      <c r="F56" s="25"/>
      <c r="G56" s="25"/>
      <c r="H56" s="25"/>
      <c r="I56" s="25"/>
    </row>
    <row r="57" spans="2:10" ht="15">
      <c r="B57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085C-8A09-45CE-B756-6F1F2A7C2FC5}">
  <sheetPr>
    <pageSetUpPr fitToPage="1"/>
  </sheetPr>
  <dimension ref="B1:J128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/>
  <cols>
    <col min="1" max="1" width="2.625" customWidth="1"/>
    <col min="2" max="2" width="36.625" bestFit="1" customWidth="1"/>
    <col min="3" max="9" width="9.625" customWidth="1"/>
  </cols>
  <sheetData>
    <row r="1" spans="2:10" ht="15">
      <c r="B1" s="12" t="str">
        <f>+Cover!B3</f>
        <v>Knowledge Marine &amp; Engineering Works Ltd.</v>
      </c>
    </row>
    <row r="3" spans="2:10" ht="15">
      <c r="B3" s="13" t="s">
        <v>533</v>
      </c>
      <c r="C3" s="14"/>
      <c r="D3" s="14"/>
      <c r="E3" s="14"/>
      <c r="F3" s="14"/>
      <c r="G3" s="14"/>
      <c r="H3" s="14"/>
      <c r="I3" s="14"/>
    </row>
    <row r="4" spans="2:10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4"/>
    </row>
    <row r="5" spans="2:10" ht="15">
      <c r="B5" s="8"/>
      <c r="C5" s="10" t="s">
        <v>9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2:10" ht="15">
      <c r="B6" s="17" t="s">
        <v>444</v>
      </c>
      <c r="C6" s="18"/>
      <c r="D6" s="18"/>
      <c r="E6" s="18"/>
      <c r="F6" s="18"/>
      <c r="G6" s="18"/>
      <c r="H6" s="18"/>
      <c r="I6" s="18"/>
      <c r="J6" s="4"/>
    </row>
    <row r="7" spans="2:10" ht="6" customHeight="1">
      <c r="B7" s="15"/>
      <c r="C7" s="16"/>
      <c r="D7" s="16"/>
      <c r="E7" s="16"/>
      <c r="F7" s="16"/>
      <c r="G7" s="16"/>
      <c r="H7" s="16"/>
      <c r="I7" s="16"/>
    </row>
    <row r="8" spans="2:10" ht="15">
      <c r="B8" s="29" t="s">
        <v>445</v>
      </c>
      <c r="C8" s="16"/>
      <c r="D8" s="16"/>
      <c r="E8" s="16"/>
      <c r="F8" s="16"/>
      <c r="G8" s="16"/>
      <c r="H8" s="16"/>
      <c r="I8" s="16"/>
    </row>
    <row r="9" spans="2:10" ht="15">
      <c r="B9" s="29" t="s">
        <v>446</v>
      </c>
      <c r="C9" s="16"/>
      <c r="D9" s="16"/>
      <c r="E9" s="16"/>
      <c r="F9" s="16"/>
      <c r="G9" s="16"/>
      <c r="H9" s="16"/>
      <c r="I9" s="16"/>
    </row>
    <row r="10" spans="2:10" ht="15">
      <c r="B10" s="29" t="s">
        <v>447</v>
      </c>
      <c r="C10" s="16"/>
      <c r="D10" s="16"/>
      <c r="E10" s="16"/>
      <c r="F10" s="16"/>
      <c r="G10" s="16"/>
      <c r="H10" s="16"/>
      <c r="I10" s="16"/>
    </row>
    <row r="11" spans="2:10" ht="15">
      <c r="B11" s="29" t="s">
        <v>448</v>
      </c>
      <c r="C11" s="16"/>
      <c r="D11" s="16"/>
      <c r="E11" s="16"/>
      <c r="F11" s="16"/>
      <c r="G11" s="16"/>
      <c r="H11" s="16"/>
      <c r="I11" s="16"/>
    </row>
    <row r="12" spans="2:10" ht="15">
      <c r="B12" s="29" t="s">
        <v>449</v>
      </c>
      <c r="C12" s="16"/>
      <c r="D12" s="16"/>
      <c r="E12" s="16"/>
      <c r="F12" s="16"/>
      <c r="G12" s="16"/>
      <c r="H12" s="16"/>
      <c r="I12" s="16"/>
    </row>
    <row r="13" spans="2:10" ht="15">
      <c r="B13" s="29" t="s">
        <v>450</v>
      </c>
      <c r="C13" s="16"/>
      <c r="D13" s="16"/>
      <c r="E13" s="16"/>
      <c r="F13" s="16"/>
      <c r="G13" s="16"/>
      <c r="H13" s="16"/>
      <c r="I13" s="16"/>
    </row>
    <row r="14" spans="2:10" ht="15">
      <c r="B14" s="29" t="s">
        <v>451</v>
      </c>
      <c r="C14" s="16">
        <v>23.623000000000001</v>
      </c>
      <c r="D14" s="16">
        <v>63.768999999999998</v>
      </c>
      <c r="E14" s="16">
        <v>82.453738000000001</v>
      </c>
      <c r="F14" s="16">
        <v>116.35299999999999</v>
      </c>
      <c r="G14" s="16">
        <v>171.75800000000001</v>
      </c>
      <c r="H14" s="16">
        <v>42.058</v>
      </c>
      <c r="I14" s="16">
        <v>417.48</v>
      </c>
    </row>
    <row r="15" spans="2:10" ht="15">
      <c r="B15" s="29" t="s">
        <v>452</v>
      </c>
      <c r="C15" s="16"/>
      <c r="D15" s="16"/>
      <c r="E15" s="16"/>
      <c r="F15" s="16"/>
      <c r="G15" s="16"/>
      <c r="H15" s="16"/>
      <c r="I15" s="16"/>
    </row>
    <row r="16" spans="2:10" ht="6" customHeight="1">
      <c r="B16" s="15"/>
      <c r="C16" s="2"/>
      <c r="D16" s="2"/>
      <c r="E16" s="2"/>
      <c r="F16" s="2"/>
      <c r="G16" s="2"/>
      <c r="H16" s="2"/>
      <c r="I16" s="2"/>
    </row>
    <row r="17" spans="2:10" ht="15">
      <c r="B17" s="31" t="s">
        <v>453</v>
      </c>
      <c r="C17" s="3">
        <f>SUM(C14:C15)</f>
        <v>23.623000000000001</v>
      </c>
      <c r="D17" s="3">
        <f t="shared" ref="D17:I17" si="0">SUM(D14:D15)</f>
        <v>63.768999999999998</v>
      </c>
      <c r="E17" s="3">
        <f t="shared" si="0"/>
        <v>82.453738000000001</v>
      </c>
      <c r="F17" s="3">
        <f t="shared" si="0"/>
        <v>116.35299999999999</v>
      </c>
      <c r="G17" s="3">
        <f t="shared" si="0"/>
        <v>171.75800000000001</v>
      </c>
      <c r="H17" s="3">
        <f t="shared" si="0"/>
        <v>42.058</v>
      </c>
      <c r="I17" s="3">
        <f t="shared" si="0"/>
        <v>417.48</v>
      </c>
      <c r="J17" s="4"/>
    </row>
    <row r="18" spans="2:10" ht="15">
      <c r="B18" s="29" t="s">
        <v>451</v>
      </c>
      <c r="C18" s="16"/>
      <c r="D18" s="16"/>
      <c r="E18" s="16"/>
      <c r="F18" s="16"/>
      <c r="G18" s="16"/>
      <c r="H18" s="16"/>
      <c r="I18" s="16"/>
    </row>
    <row r="19" spans="2:10" ht="15">
      <c r="B19" s="29" t="s">
        <v>452</v>
      </c>
      <c r="C19" s="2"/>
      <c r="D19" s="2"/>
      <c r="E19" s="2"/>
      <c r="F19" s="2"/>
      <c r="G19" s="2"/>
      <c r="H19" s="2"/>
      <c r="I19" s="2"/>
    </row>
    <row r="20" spans="2:10" ht="15">
      <c r="B20" s="31" t="s">
        <v>454</v>
      </c>
      <c r="C20" s="3">
        <f>SUM(C18:C19)</f>
        <v>0</v>
      </c>
      <c r="D20" s="3">
        <f t="shared" ref="D20:I20" si="1">SUM(D18:D19)</f>
        <v>0</v>
      </c>
      <c r="E20" s="3">
        <f t="shared" si="1"/>
        <v>0</v>
      </c>
      <c r="F20" s="3">
        <f t="shared" si="1"/>
        <v>0</v>
      </c>
      <c r="G20" s="3">
        <f t="shared" si="1"/>
        <v>0</v>
      </c>
      <c r="H20" s="3">
        <f t="shared" si="1"/>
        <v>0</v>
      </c>
      <c r="I20" s="3">
        <f t="shared" si="1"/>
        <v>0</v>
      </c>
      <c r="J20" s="4"/>
    </row>
    <row r="21" spans="2:10" ht="6" customHeight="1">
      <c r="B21" s="15"/>
      <c r="C21" s="16"/>
      <c r="D21" s="16"/>
      <c r="E21" s="16"/>
      <c r="F21" s="16"/>
      <c r="G21" s="16"/>
      <c r="H21" s="16"/>
      <c r="I21" s="16"/>
    </row>
    <row r="22" spans="2:10" ht="15">
      <c r="B22" s="29" t="s">
        <v>451</v>
      </c>
      <c r="C22" s="16"/>
      <c r="D22" s="16"/>
      <c r="E22" s="16"/>
      <c r="F22" s="16"/>
      <c r="G22" s="16"/>
      <c r="H22" s="16"/>
      <c r="I22" s="16"/>
    </row>
    <row r="23" spans="2:10" ht="15">
      <c r="B23" s="29" t="s">
        <v>452</v>
      </c>
      <c r="C23" s="16"/>
      <c r="D23" s="16"/>
      <c r="E23" s="16"/>
      <c r="F23" s="16"/>
      <c r="G23" s="16"/>
      <c r="H23" s="16"/>
      <c r="I23" s="16"/>
    </row>
    <row r="24" spans="2:10" ht="15">
      <c r="B24" s="31" t="s">
        <v>455</v>
      </c>
      <c r="C24" s="5">
        <f>SUM(C22:C23)</f>
        <v>0</v>
      </c>
      <c r="D24" s="5">
        <f t="shared" ref="D24:I24" si="2">SUM(D22:D23)</f>
        <v>0</v>
      </c>
      <c r="E24" s="5">
        <f t="shared" si="2"/>
        <v>0</v>
      </c>
      <c r="F24" s="5">
        <f t="shared" si="2"/>
        <v>0</v>
      </c>
      <c r="G24" s="5">
        <f t="shared" si="2"/>
        <v>0</v>
      </c>
      <c r="H24" s="5">
        <f t="shared" si="2"/>
        <v>0</v>
      </c>
      <c r="I24" s="5">
        <f t="shared" si="2"/>
        <v>0</v>
      </c>
      <c r="J24" s="4"/>
    </row>
    <row r="25" spans="2:10" ht="6" customHeight="1">
      <c r="B25" s="15"/>
      <c r="C25" s="16"/>
      <c r="D25" s="16"/>
      <c r="E25" s="16"/>
      <c r="F25" s="16"/>
      <c r="G25" s="16"/>
      <c r="H25" s="16"/>
      <c r="I25" s="16"/>
    </row>
    <row r="26" spans="2:10" ht="15">
      <c r="B26" s="29" t="s">
        <v>451</v>
      </c>
      <c r="C26" s="16"/>
      <c r="D26" s="16"/>
      <c r="E26" s="16"/>
      <c r="F26" s="16"/>
      <c r="G26" s="16"/>
      <c r="H26" s="16"/>
      <c r="I26" s="16"/>
    </row>
    <row r="27" spans="2:10" ht="15">
      <c r="B27" s="29" t="s">
        <v>452</v>
      </c>
      <c r="C27" s="16"/>
      <c r="D27" s="16"/>
      <c r="E27" s="16"/>
      <c r="F27" s="16"/>
      <c r="G27" s="16"/>
      <c r="H27" s="16"/>
      <c r="I27" s="16"/>
    </row>
    <row r="28" spans="2:10" ht="15">
      <c r="B28" s="31" t="s">
        <v>456</v>
      </c>
      <c r="C28" s="5">
        <f>SUM(C26:C27)</f>
        <v>0</v>
      </c>
      <c r="D28" s="5">
        <f t="shared" ref="D28:I28" si="3">SUM(D26:D27)</f>
        <v>0</v>
      </c>
      <c r="E28" s="5">
        <f t="shared" si="3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4"/>
    </row>
    <row r="29" spans="2:10" ht="6" customHeight="1">
      <c r="B29" s="15"/>
      <c r="C29" s="16"/>
      <c r="D29" s="16"/>
      <c r="E29" s="16"/>
      <c r="F29" s="16"/>
      <c r="G29" s="16"/>
      <c r="H29" s="16"/>
      <c r="I29" s="16"/>
    </row>
    <row r="30" spans="2:10" ht="15">
      <c r="B30" s="29" t="s">
        <v>457</v>
      </c>
      <c r="C30" s="16"/>
      <c r="D30" s="16"/>
      <c r="E30" s="16"/>
      <c r="F30" s="16"/>
      <c r="G30" s="16"/>
      <c r="H30" s="16"/>
      <c r="I30" s="16"/>
    </row>
    <row r="31" spans="2:10" ht="15">
      <c r="B31" s="29" t="s">
        <v>458</v>
      </c>
      <c r="C31" s="16"/>
      <c r="D31" s="16"/>
      <c r="E31" s="16"/>
      <c r="F31" s="16"/>
      <c r="G31" s="16"/>
      <c r="H31" s="16"/>
      <c r="I31" s="16"/>
    </row>
    <row r="32" spans="2:10" ht="15">
      <c r="B32" s="29" t="s">
        <v>459</v>
      </c>
      <c r="C32" s="16"/>
      <c r="D32" s="16"/>
      <c r="E32" s="16"/>
      <c r="F32" s="16"/>
      <c r="G32" s="16"/>
      <c r="H32" s="16"/>
      <c r="I32" s="16"/>
    </row>
    <row r="33" spans="2:10" ht="15">
      <c r="B33" s="29" t="s">
        <v>460</v>
      </c>
      <c r="C33" s="16"/>
      <c r="D33" s="16"/>
      <c r="E33" s="16"/>
      <c r="F33" s="16"/>
      <c r="G33" s="16"/>
      <c r="H33" s="16"/>
      <c r="I33" s="16"/>
    </row>
    <row r="34" spans="2:10" ht="15">
      <c r="B34" s="29" t="s">
        <v>461</v>
      </c>
      <c r="C34" s="16"/>
      <c r="D34" s="16"/>
      <c r="E34" s="16"/>
      <c r="F34" s="16"/>
      <c r="G34" s="16"/>
      <c r="H34" s="16"/>
      <c r="I34" s="16"/>
    </row>
    <row r="35" spans="2:10" ht="15">
      <c r="B35" s="29" t="s">
        <v>462</v>
      </c>
      <c r="C35" s="16"/>
      <c r="D35" s="16"/>
      <c r="E35" s="16"/>
      <c r="F35" s="16"/>
      <c r="G35" s="16"/>
      <c r="H35" s="16"/>
      <c r="I35" s="16"/>
    </row>
    <row r="36" spans="2:10" ht="6" customHeight="1">
      <c r="B36" s="15"/>
      <c r="C36" s="16"/>
      <c r="D36" s="16"/>
      <c r="E36" s="16"/>
      <c r="F36" s="16"/>
      <c r="G36" s="16"/>
      <c r="H36" s="16"/>
      <c r="I36" s="16"/>
    </row>
    <row r="37" spans="2:10" ht="15">
      <c r="B37" s="29" t="s">
        <v>463</v>
      </c>
      <c r="C37" s="16"/>
      <c r="D37" s="16"/>
      <c r="E37" s="16"/>
      <c r="F37" s="16"/>
      <c r="G37" s="16"/>
      <c r="H37" s="16"/>
      <c r="I37" s="16"/>
    </row>
    <row r="38" spans="2:10" ht="15">
      <c r="B38" s="29" t="s">
        <v>464</v>
      </c>
      <c r="C38" s="16"/>
      <c r="D38" s="16"/>
      <c r="E38" s="16"/>
      <c r="F38" s="16"/>
      <c r="G38" s="16"/>
      <c r="H38" s="16"/>
      <c r="I38" s="16"/>
    </row>
    <row r="39" spans="2:10" ht="15">
      <c r="B39" s="29" t="s">
        <v>465</v>
      </c>
      <c r="C39" s="2"/>
      <c r="D39" s="2"/>
      <c r="E39" s="2"/>
      <c r="F39" s="2"/>
      <c r="G39" s="2"/>
      <c r="H39" s="2"/>
      <c r="I39" s="2"/>
    </row>
    <row r="40" spans="2:10" ht="15">
      <c r="B40" s="31" t="s">
        <v>466</v>
      </c>
      <c r="C40" s="3">
        <f>SUM(C31:C39)</f>
        <v>0</v>
      </c>
      <c r="D40" s="3">
        <f t="shared" ref="D40:I40" si="4">SUM(D31:D39)</f>
        <v>0</v>
      </c>
      <c r="E40" s="3">
        <f t="shared" si="4"/>
        <v>0</v>
      </c>
      <c r="F40" s="3">
        <f t="shared" si="4"/>
        <v>0</v>
      </c>
      <c r="G40" s="3">
        <f t="shared" si="4"/>
        <v>0</v>
      </c>
      <c r="H40" s="3">
        <f t="shared" si="4"/>
        <v>0</v>
      </c>
      <c r="I40" s="3">
        <f t="shared" si="4"/>
        <v>0</v>
      </c>
      <c r="J40" s="4"/>
    </row>
    <row r="41" spans="2:10" ht="6" customHeight="1">
      <c r="B41" s="15"/>
      <c r="C41" s="16"/>
      <c r="D41" s="16"/>
      <c r="E41" s="16"/>
      <c r="F41" s="16"/>
      <c r="G41" s="16"/>
      <c r="H41" s="16"/>
      <c r="I41" s="16"/>
    </row>
    <row r="42" spans="2:10" ht="15">
      <c r="B42" s="29" t="s">
        <v>467</v>
      </c>
      <c r="C42" s="16"/>
      <c r="D42" s="16"/>
      <c r="E42" s="16"/>
      <c r="F42" s="16"/>
      <c r="G42" s="16"/>
      <c r="H42" s="16"/>
      <c r="I42" s="16"/>
    </row>
    <row r="43" spans="2:10" ht="15">
      <c r="B43" s="29" t="s">
        <v>468</v>
      </c>
      <c r="C43" s="16"/>
      <c r="D43" s="16"/>
      <c r="E43" s="16"/>
      <c r="F43" s="16"/>
      <c r="G43" s="16"/>
      <c r="H43" s="16"/>
      <c r="I43" s="16"/>
    </row>
    <row r="44" spans="2:10" ht="15">
      <c r="B44" s="29" t="s">
        <v>469</v>
      </c>
      <c r="C44" s="16">
        <v>-4.532</v>
      </c>
      <c r="D44" s="16">
        <v>-8.9580000000000002</v>
      </c>
      <c r="E44" s="16"/>
      <c r="F44" s="16"/>
      <c r="G44" s="16"/>
      <c r="H44" s="16"/>
      <c r="I44" s="16"/>
    </row>
    <row r="45" spans="2:10" ht="15">
      <c r="B45" s="29" t="s">
        <v>470</v>
      </c>
      <c r="C45" s="16"/>
      <c r="D45" s="16"/>
      <c r="E45" s="16"/>
      <c r="F45" s="16"/>
      <c r="G45" s="16"/>
      <c r="H45" s="16"/>
      <c r="I45" s="16"/>
    </row>
    <row r="46" spans="2:10" ht="15">
      <c r="B46" s="29" t="s">
        <v>471</v>
      </c>
      <c r="C46" s="16"/>
      <c r="D46" s="16"/>
      <c r="E46" s="16"/>
      <c r="F46" s="16"/>
      <c r="G46" s="16"/>
      <c r="H46" s="16"/>
      <c r="I46" s="16"/>
    </row>
    <row r="47" spans="2:10" ht="15">
      <c r="B47" s="15" t="s">
        <v>472</v>
      </c>
      <c r="C47" s="2"/>
      <c r="D47" s="2"/>
      <c r="E47" s="2"/>
      <c r="F47" s="2"/>
      <c r="G47" s="2"/>
      <c r="H47" s="2"/>
      <c r="I47" s="2"/>
    </row>
    <row r="48" spans="2:10" ht="15.75" thickBot="1">
      <c r="B48" s="17" t="s">
        <v>473</v>
      </c>
      <c r="C48" s="6">
        <f>SUM(C17,C20,C24,C28,C40,C42:C46,C8:C13)</f>
        <v>19.091000000000001</v>
      </c>
      <c r="D48" s="6">
        <f t="shared" ref="D48:I48" si="5">SUM(D17,D20,D24,D28,D40,D42:D46,D8:D13)</f>
        <v>54.811</v>
      </c>
      <c r="E48" s="6">
        <f t="shared" si="5"/>
        <v>82.453738000000001</v>
      </c>
      <c r="F48" s="6">
        <f t="shared" si="5"/>
        <v>116.35299999999999</v>
      </c>
      <c r="G48" s="6">
        <f t="shared" si="5"/>
        <v>171.75800000000001</v>
      </c>
      <c r="H48" s="6">
        <f t="shared" si="5"/>
        <v>42.058</v>
      </c>
      <c r="I48" s="6">
        <f t="shared" si="5"/>
        <v>417.48</v>
      </c>
      <c r="J48" s="4"/>
    </row>
    <row r="49" spans="2:9" ht="6" customHeight="1" thickTop="1">
      <c r="B49" s="15"/>
      <c r="C49" s="16"/>
      <c r="D49" s="16"/>
      <c r="E49" s="16"/>
      <c r="F49" s="16"/>
      <c r="G49" s="16"/>
      <c r="H49" s="16"/>
      <c r="I49" s="16"/>
    </row>
    <row r="50" spans="2:9" ht="15">
      <c r="B50" s="29" t="s">
        <v>474</v>
      </c>
      <c r="C50" s="16"/>
      <c r="D50" s="16"/>
      <c r="E50" s="16"/>
      <c r="F50" s="16"/>
      <c r="G50" s="16"/>
      <c r="H50" s="16"/>
      <c r="I50" s="16"/>
    </row>
    <row r="51" spans="2:9" ht="15">
      <c r="B51" s="29" t="s">
        <v>475</v>
      </c>
      <c r="C51" s="16"/>
      <c r="D51" s="16"/>
      <c r="E51" s="16"/>
      <c r="F51" s="16"/>
      <c r="G51" s="16"/>
      <c r="H51" s="16"/>
      <c r="I51" s="16"/>
    </row>
    <row r="52" spans="2:9" ht="15">
      <c r="B52" s="29" t="s">
        <v>476</v>
      </c>
      <c r="C52" s="16"/>
      <c r="D52" s="16"/>
      <c r="E52" s="16"/>
      <c r="F52" s="16"/>
      <c r="G52" s="16"/>
      <c r="H52" s="16"/>
      <c r="I52" s="16"/>
    </row>
    <row r="53" spans="2:9" ht="15">
      <c r="B53" s="29" t="s">
        <v>477</v>
      </c>
      <c r="C53" s="16"/>
      <c r="D53" s="16"/>
      <c r="E53" s="16"/>
      <c r="F53" s="16"/>
      <c r="G53" s="16"/>
      <c r="H53" s="16"/>
      <c r="I53" s="16"/>
    </row>
    <row r="54" spans="2:9" ht="15">
      <c r="B54" s="29" t="s">
        <v>478</v>
      </c>
      <c r="C54" s="16"/>
      <c r="D54" s="16"/>
      <c r="E54" s="16"/>
      <c r="F54" s="16"/>
      <c r="G54" s="16"/>
      <c r="H54" s="16"/>
      <c r="I54" s="16"/>
    </row>
    <row r="55" spans="2:9" ht="15">
      <c r="B55" s="29" t="s">
        <v>479</v>
      </c>
      <c r="C55" s="16"/>
      <c r="D55" s="16"/>
      <c r="E55" s="16"/>
      <c r="F55" s="16"/>
      <c r="G55" s="16"/>
      <c r="H55" s="16"/>
      <c r="I55" s="16"/>
    </row>
    <row r="56" spans="2:9" ht="15">
      <c r="B56" s="29" t="s">
        <v>480</v>
      </c>
      <c r="C56" s="16"/>
      <c r="D56" s="16"/>
      <c r="E56" s="16"/>
      <c r="F56" s="16"/>
      <c r="G56" s="16"/>
      <c r="H56" s="16"/>
      <c r="I56" s="16"/>
    </row>
    <row r="57" spans="2:9" ht="15">
      <c r="B57" s="29" t="s">
        <v>481</v>
      </c>
      <c r="C57" s="16"/>
      <c r="D57" s="16">
        <v>8.76</v>
      </c>
      <c r="E57" s="16">
        <v>3.3653940000000002</v>
      </c>
      <c r="F57" s="16"/>
      <c r="G57" s="16"/>
      <c r="H57" s="16"/>
      <c r="I57" s="16"/>
    </row>
    <row r="58" spans="2:9" ht="15">
      <c r="B58" s="29" t="s">
        <v>482</v>
      </c>
      <c r="C58" s="16"/>
      <c r="D58" s="16"/>
      <c r="E58" s="16"/>
      <c r="F58" s="16"/>
      <c r="G58" s="16"/>
      <c r="H58" s="16"/>
      <c r="I58" s="16"/>
    </row>
    <row r="59" spans="2:9" ht="15">
      <c r="B59" s="29" t="s">
        <v>483</v>
      </c>
      <c r="C59" s="16">
        <v>24.055</v>
      </c>
      <c r="D59" s="16">
        <v>15.509</v>
      </c>
      <c r="E59" s="16">
        <v>24.573346000000001</v>
      </c>
      <c r="F59" s="16"/>
      <c r="G59" s="16"/>
      <c r="H59" s="16"/>
      <c r="I59" s="16"/>
    </row>
    <row r="60" spans="2:9" ht="15">
      <c r="B60" s="29" t="s">
        <v>484</v>
      </c>
      <c r="C60" s="16"/>
      <c r="D60" s="16"/>
      <c r="E60" s="16"/>
      <c r="F60" s="16"/>
      <c r="G60" s="16"/>
      <c r="H60" s="16"/>
      <c r="I60" s="16"/>
    </row>
    <row r="61" spans="2:9" ht="15">
      <c r="B61" s="29" t="s">
        <v>485</v>
      </c>
      <c r="C61" s="16"/>
      <c r="D61" s="16"/>
      <c r="E61" s="16"/>
      <c r="F61" s="16"/>
      <c r="G61" s="16"/>
      <c r="H61" s="16"/>
      <c r="I61" s="16"/>
    </row>
    <row r="62" spans="2:9" ht="15">
      <c r="B62" s="29" t="s">
        <v>486</v>
      </c>
      <c r="C62" s="16"/>
      <c r="D62" s="16"/>
      <c r="E62" s="16"/>
      <c r="F62" s="16"/>
      <c r="G62" s="16"/>
      <c r="H62" s="16"/>
      <c r="I62" s="16"/>
    </row>
    <row r="63" spans="2:9" ht="15">
      <c r="B63" s="29" t="s">
        <v>487</v>
      </c>
      <c r="C63" s="16"/>
      <c r="D63" s="16"/>
      <c r="E63" s="16"/>
      <c r="F63" s="16"/>
      <c r="G63" s="16"/>
      <c r="H63" s="16"/>
      <c r="I63" s="16"/>
    </row>
    <row r="64" spans="2:9" ht="15">
      <c r="B64" s="29" t="s">
        <v>488</v>
      </c>
      <c r="C64" s="16"/>
      <c r="D64" s="16"/>
      <c r="E64" s="16"/>
      <c r="F64" s="16"/>
      <c r="G64" s="16"/>
      <c r="H64" s="16"/>
      <c r="I64" s="16"/>
    </row>
    <row r="65" spans="2:10" ht="15">
      <c r="B65" s="29" t="s">
        <v>489</v>
      </c>
      <c r="C65" s="16"/>
      <c r="D65" s="16"/>
      <c r="E65" s="16"/>
      <c r="F65" s="16"/>
      <c r="G65" s="16"/>
      <c r="H65" s="16"/>
      <c r="I65" s="16"/>
    </row>
    <row r="66" spans="2:10" ht="15">
      <c r="B66" s="29" t="s">
        <v>490</v>
      </c>
      <c r="C66" s="16"/>
      <c r="D66" s="16"/>
      <c r="E66" s="16"/>
      <c r="F66" s="16"/>
      <c r="G66" s="16"/>
      <c r="H66" s="16"/>
      <c r="I66" s="16"/>
    </row>
    <row r="67" spans="2:10" ht="15">
      <c r="B67" s="29" t="s">
        <v>491</v>
      </c>
      <c r="C67" s="16"/>
      <c r="D67" s="16"/>
      <c r="E67" s="16"/>
      <c r="F67" s="16"/>
      <c r="G67" s="16"/>
      <c r="H67" s="16"/>
      <c r="I67" s="16"/>
    </row>
    <row r="68" spans="2:10" ht="15">
      <c r="B68" s="29" t="s">
        <v>492</v>
      </c>
      <c r="C68" s="16"/>
      <c r="D68" s="16"/>
      <c r="E68" s="16"/>
      <c r="F68" s="16"/>
      <c r="G68" s="16"/>
      <c r="H68" s="16"/>
      <c r="I68" s="16"/>
    </row>
    <row r="69" spans="2:10" ht="15">
      <c r="B69" s="29" t="s">
        <v>275</v>
      </c>
      <c r="C69" s="16"/>
      <c r="D69" s="16"/>
      <c r="E69" s="16"/>
      <c r="F69" s="16"/>
      <c r="G69" s="16"/>
      <c r="H69" s="16"/>
      <c r="I69" s="16"/>
    </row>
    <row r="70" spans="2:10" ht="15">
      <c r="B70" s="29" t="s">
        <v>469</v>
      </c>
      <c r="C70" s="16"/>
      <c r="D70" s="16">
        <v>-4.9939999999999998</v>
      </c>
      <c r="E70" s="16"/>
      <c r="F70" s="16"/>
      <c r="G70" s="16"/>
      <c r="H70" s="16"/>
      <c r="I70" s="16"/>
    </row>
    <row r="71" spans="2:10" ht="15">
      <c r="B71" s="29" t="s">
        <v>470</v>
      </c>
      <c r="C71" s="16"/>
      <c r="D71" s="16"/>
      <c r="E71" s="16"/>
      <c r="F71" s="16"/>
      <c r="G71" s="16"/>
      <c r="H71" s="16"/>
      <c r="I71" s="16"/>
    </row>
    <row r="72" spans="2:10" ht="15">
      <c r="B72" s="29" t="s">
        <v>493</v>
      </c>
      <c r="C72" s="2"/>
      <c r="D72" s="2"/>
      <c r="E72" s="2"/>
      <c r="F72" s="2"/>
      <c r="G72" s="2"/>
      <c r="H72" s="2"/>
      <c r="I72" s="2"/>
    </row>
    <row r="73" spans="2:10" ht="15.75" thickBot="1">
      <c r="B73" s="17" t="s">
        <v>494</v>
      </c>
      <c r="C73" s="6">
        <f>SUM(C50:C72)</f>
        <v>24.055</v>
      </c>
      <c r="D73" s="6">
        <f t="shared" ref="D73:I73" si="6">SUM(D50:D72)</f>
        <v>19.274999999999999</v>
      </c>
      <c r="E73" s="6">
        <f t="shared" si="6"/>
        <v>27.938740000000003</v>
      </c>
      <c r="F73" s="6">
        <f t="shared" si="6"/>
        <v>0</v>
      </c>
      <c r="G73" s="6">
        <f t="shared" si="6"/>
        <v>0</v>
      </c>
      <c r="H73" s="6">
        <f t="shared" si="6"/>
        <v>0</v>
      </c>
      <c r="I73" s="6">
        <f t="shared" si="6"/>
        <v>0</v>
      </c>
      <c r="J73" s="4"/>
    </row>
    <row r="74" spans="2:10" ht="15.75" thickTop="1">
      <c r="B74" s="15" t="s">
        <v>495</v>
      </c>
      <c r="C74" s="16"/>
      <c r="D74" s="16"/>
      <c r="E74" s="16"/>
      <c r="F74" s="16"/>
      <c r="G74" s="16"/>
      <c r="H74" s="16"/>
      <c r="I74" s="16"/>
    </row>
    <row r="75" spans="2:10" ht="6" customHeight="1">
      <c r="B75" s="15"/>
      <c r="C75" s="2"/>
      <c r="D75" s="2"/>
      <c r="E75" s="2"/>
      <c r="F75" s="2"/>
      <c r="G75" s="2"/>
      <c r="H75" s="2"/>
      <c r="I75" s="2"/>
    </row>
    <row r="76" spans="2:10" ht="15.75" thickBot="1">
      <c r="B76" s="17" t="s">
        <v>496</v>
      </c>
      <c r="C76" s="6">
        <f>C48+C73</f>
        <v>43.146000000000001</v>
      </c>
      <c r="D76" s="6">
        <f t="shared" ref="D76:I76" si="7">D48+D73</f>
        <v>74.085999999999999</v>
      </c>
      <c r="E76" s="6">
        <f t="shared" si="7"/>
        <v>110.39247800000001</v>
      </c>
      <c r="F76" s="6">
        <f t="shared" si="7"/>
        <v>116.35299999999999</v>
      </c>
      <c r="G76" s="6">
        <f t="shared" si="7"/>
        <v>171.75800000000001</v>
      </c>
      <c r="H76" s="6">
        <f t="shared" si="7"/>
        <v>42.058</v>
      </c>
      <c r="I76" s="6">
        <f t="shared" si="7"/>
        <v>417.48</v>
      </c>
      <c r="J76" s="4"/>
    </row>
    <row r="77" spans="2:10" ht="6" customHeight="1" thickTop="1">
      <c r="B77" s="15"/>
      <c r="C77" s="16"/>
      <c r="D77" s="16"/>
      <c r="E77" s="16"/>
      <c r="F77" s="16"/>
      <c r="G77" s="16"/>
      <c r="H77" s="16"/>
      <c r="I77" s="16"/>
    </row>
    <row r="78" spans="2:10" ht="15">
      <c r="B78" s="29" t="s">
        <v>497</v>
      </c>
      <c r="C78" s="16"/>
      <c r="D78" s="16"/>
      <c r="E78" s="16">
        <v>19.754403</v>
      </c>
      <c r="F78" s="16">
        <v>52.57</v>
      </c>
      <c r="G78" s="16">
        <v>92.230999999999995</v>
      </c>
      <c r="H78" s="16">
        <v>199.3</v>
      </c>
      <c r="I78" s="16">
        <v>184.46799999999999</v>
      </c>
    </row>
    <row r="79" spans="2:10" ht="15">
      <c r="B79" s="29" t="s">
        <v>498</v>
      </c>
      <c r="C79" s="2"/>
      <c r="D79" s="2"/>
      <c r="E79" s="2"/>
      <c r="F79" s="2"/>
      <c r="G79" s="2"/>
      <c r="H79" s="2"/>
      <c r="I79" s="2"/>
    </row>
    <row r="80" spans="2:10" ht="15">
      <c r="B80" s="31" t="s">
        <v>499</v>
      </c>
      <c r="C80" s="3">
        <f>SUM(C78:C79)</f>
        <v>0</v>
      </c>
      <c r="D80" s="3">
        <f t="shared" ref="D80:I80" si="8">SUM(D78:D79)</f>
        <v>0</v>
      </c>
      <c r="E80" s="3">
        <f t="shared" si="8"/>
        <v>19.754403</v>
      </c>
      <c r="F80" s="3">
        <f t="shared" si="8"/>
        <v>52.57</v>
      </c>
      <c r="G80" s="3">
        <f t="shared" si="8"/>
        <v>92.230999999999995</v>
      </c>
      <c r="H80" s="3">
        <f t="shared" si="8"/>
        <v>199.3</v>
      </c>
      <c r="I80" s="3">
        <f t="shared" si="8"/>
        <v>184.46799999999999</v>
      </c>
      <c r="J80" s="4"/>
    </row>
    <row r="81" spans="2:10" ht="6" customHeight="1">
      <c r="B81" s="15"/>
      <c r="C81" s="16"/>
      <c r="D81" s="16"/>
      <c r="E81" s="16"/>
      <c r="F81" s="16"/>
      <c r="G81" s="16"/>
      <c r="H81" s="16"/>
      <c r="I81" s="16"/>
    </row>
    <row r="82" spans="2:10" ht="15">
      <c r="B82" s="29" t="s">
        <v>500</v>
      </c>
      <c r="C82" s="16"/>
      <c r="D82" s="16"/>
      <c r="E82" s="16"/>
      <c r="F82" s="16"/>
      <c r="G82" s="16"/>
      <c r="H82" s="16"/>
      <c r="I82" s="16"/>
    </row>
    <row r="83" spans="2:10" ht="15">
      <c r="B83" s="29" t="s">
        <v>501</v>
      </c>
      <c r="C83" s="2"/>
      <c r="D83" s="2"/>
      <c r="E83" s="2"/>
      <c r="F83" s="2"/>
      <c r="G83" s="2"/>
      <c r="H83" s="2"/>
      <c r="I83" s="2"/>
    </row>
    <row r="84" spans="2:10" ht="15">
      <c r="B84" s="31" t="s">
        <v>502</v>
      </c>
      <c r="C84" s="3">
        <f>SUM(C82:C83)</f>
        <v>0</v>
      </c>
      <c r="D84" s="3">
        <f t="shared" ref="D84:I84" si="9">SUM(D82:D83)</f>
        <v>0</v>
      </c>
      <c r="E84" s="3">
        <f t="shared" si="9"/>
        <v>0</v>
      </c>
      <c r="F84" s="3">
        <f t="shared" si="9"/>
        <v>0</v>
      </c>
      <c r="G84" s="3">
        <f t="shared" si="9"/>
        <v>0</v>
      </c>
      <c r="H84" s="3">
        <f t="shared" si="9"/>
        <v>0</v>
      </c>
      <c r="I84" s="3">
        <f t="shared" si="9"/>
        <v>0</v>
      </c>
      <c r="J84" s="4"/>
    </row>
    <row r="85" spans="2:10" ht="6" customHeight="1">
      <c r="B85" s="15"/>
      <c r="C85" s="16"/>
      <c r="D85" s="16"/>
      <c r="E85" s="16"/>
      <c r="F85" s="16"/>
      <c r="G85" s="16"/>
      <c r="H85" s="16"/>
      <c r="I85" s="16"/>
    </row>
    <row r="86" spans="2:10" ht="15">
      <c r="B86" s="29" t="s">
        <v>503</v>
      </c>
      <c r="C86" s="16"/>
      <c r="D86" s="16"/>
      <c r="E86" s="16"/>
      <c r="F86" s="16"/>
      <c r="G86" s="16"/>
      <c r="H86" s="16"/>
      <c r="I86" s="16"/>
    </row>
    <row r="87" spans="2:10" ht="15">
      <c r="B87" s="29" t="s">
        <v>504</v>
      </c>
      <c r="C87" s="16"/>
      <c r="D87" s="16"/>
      <c r="E87" s="16"/>
      <c r="F87" s="16"/>
      <c r="G87" s="16"/>
      <c r="H87" s="16"/>
      <c r="I87" s="16"/>
    </row>
    <row r="88" spans="2:10" ht="15">
      <c r="B88" s="29" t="s">
        <v>505</v>
      </c>
      <c r="C88" s="2"/>
      <c r="D88" s="2"/>
      <c r="E88" s="2"/>
      <c r="F88" s="2"/>
      <c r="G88" s="2"/>
      <c r="H88" s="2"/>
      <c r="I88" s="2"/>
    </row>
    <row r="89" spans="2:10" ht="15">
      <c r="B89" s="31" t="s">
        <v>506</v>
      </c>
      <c r="C89" s="3">
        <f>SUM(C86:C88)</f>
        <v>0</v>
      </c>
      <c r="D89" s="3">
        <f t="shared" ref="D89:I89" si="10">SUM(D86:D88)</f>
        <v>0</v>
      </c>
      <c r="E89" s="3">
        <f t="shared" si="10"/>
        <v>0</v>
      </c>
      <c r="F89" s="3">
        <f t="shared" si="10"/>
        <v>0</v>
      </c>
      <c r="G89" s="3">
        <f t="shared" si="10"/>
        <v>0</v>
      </c>
      <c r="H89" s="3">
        <f t="shared" si="10"/>
        <v>0</v>
      </c>
      <c r="I89" s="3">
        <f t="shared" si="10"/>
        <v>0</v>
      </c>
      <c r="J89" s="4"/>
    </row>
    <row r="90" spans="2:10" ht="6" customHeight="1">
      <c r="B90" s="15"/>
      <c r="C90" s="16"/>
      <c r="D90" s="16"/>
      <c r="E90" s="16"/>
      <c r="F90" s="16"/>
      <c r="G90" s="16"/>
      <c r="H90" s="16"/>
      <c r="I90" s="16"/>
    </row>
    <row r="91" spans="2:10" ht="15">
      <c r="B91" s="29" t="s">
        <v>507</v>
      </c>
      <c r="C91" s="16"/>
      <c r="D91" s="16"/>
      <c r="E91" s="16"/>
      <c r="F91" s="16"/>
      <c r="G91" s="16"/>
      <c r="H91" s="16"/>
      <c r="I91" s="16"/>
    </row>
    <row r="92" spans="2:10" ht="15">
      <c r="B92" s="29" t="s">
        <v>508</v>
      </c>
      <c r="C92" s="16"/>
      <c r="D92" s="16"/>
      <c r="E92" s="16"/>
      <c r="F92" s="16"/>
      <c r="G92" s="16"/>
      <c r="H92" s="16"/>
      <c r="I92" s="16"/>
    </row>
    <row r="93" spans="2:10" ht="15">
      <c r="B93" s="29" t="s">
        <v>509</v>
      </c>
      <c r="C93" s="2"/>
      <c r="D93" s="2"/>
      <c r="E93" s="2"/>
      <c r="F93" s="2"/>
      <c r="G93" s="2"/>
      <c r="H93" s="2"/>
      <c r="I93" s="2"/>
    </row>
    <row r="94" spans="2:10" ht="15">
      <c r="B94" s="31" t="s">
        <v>510</v>
      </c>
      <c r="C94" s="3">
        <f>SUM(C80,C84,C89,C91:C93)</f>
        <v>0</v>
      </c>
      <c r="D94" s="3">
        <f t="shared" ref="D94:I94" si="11">SUM(D80,D84,D89,D91:D93)</f>
        <v>0</v>
      </c>
      <c r="E94" s="3">
        <f t="shared" si="11"/>
        <v>19.754403</v>
      </c>
      <c r="F94" s="3">
        <f t="shared" si="11"/>
        <v>52.57</v>
      </c>
      <c r="G94" s="3">
        <f t="shared" si="11"/>
        <v>92.230999999999995</v>
      </c>
      <c r="H94" s="3">
        <f t="shared" si="11"/>
        <v>199.3</v>
      </c>
      <c r="I94" s="3">
        <f t="shared" si="11"/>
        <v>184.46799999999999</v>
      </c>
      <c r="J94" s="4"/>
    </row>
    <row r="95" spans="2:10" ht="6" customHeight="1">
      <c r="B95" s="15"/>
      <c r="C95" s="16"/>
      <c r="D95" s="16"/>
      <c r="E95" s="16"/>
      <c r="F95" s="16"/>
      <c r="G95" s="16"/>
      <c r="H95" s="16"/>
      <c r="I95" s="16"/>
    </row>
    <row r="96" spans="2:10" ht="15">
      <c r="B96" s="29" t="s">
        <v>511</v>
      </c>
      <c r="C96" s="16"/>
      <c r="D96" s="16"/>
      <c r="E96" s="16">
        <v>4.1041650000000001</v>
      </c>
      <c r="F96" s="16">
        <v>4.8000000000000001E-2</v>
      </c>
      <c r="G96" s="16"/>
      <c r="H96" s="16"/>
      <c r="I96" s="16"/>
    </row>
    <row r="97" spans="2:10" ht="15">
      <c r="B97" s="29" t="s">
        <v>512</v>
      </c>
      <c r="C97" s="2"/>
      <c r="D97" s="2"/>
      <c r="E97" s="2"/>
      <c r="F97" s="2"/>
      <c r="G97" s="2"/>
      <c r="H97" s="2"/>
      <c r="I97" s="2"/>
    </row>
    <row r="98" spans="2:10" ht="15">
      <c r="B98" s="31" t="s">
        <v>513</v>
      </c>
      <c r="C98" s="3">
        <f>SUM(C96:C97)</f>
        <v>0</v>
      </c>
      <c r="D98" s="3">
        <f t="shared" ref="D98:I98" si="12">SUM(D96:D97)</f>
        <v>0</v>
      </c>
      <c r="E98" s="3">
        <f t="shared" si="12"/>
        <v>4.1041650000000001</v>
      </c>
      <c r="F98" s="3">
        <f t="shared" si="12"/>
        <v>4.8000000000000001E-2</v>
      </c>
      <c r="G98" s="3">
        <f t="shared" si="12"/>
        <v>0</v>
      </c>
      <c r="H98" s="3">
        <f t="shared" si="12"/>
        <v>0</v>
      </c>
      <c r="I98" s="3">
        <f t="shared" si="12"/>
        <v>0</v>
      </c>
      <c r="J98" s="4"/>
    </row>
    <row r="99" spans="2:10" ht="6" customHeight="1">
      <c r="B99" s="15"/>
      <c r="C99" s="16"/>
      <c r="D99" s="16"/>
      <c r="E99" s="16"/>
      <c r="F99" s="16"/>
      <c r="G99" s="16"/>
      <c r="H99" s="16"/>
      <c r="I99" s="16"/>
    </row>
    <row r="100" spans="2:10" ht="15">
      <c r="B100" s="29" t="s">
        <v>514</v>
      </c>
      <c r="C100" s="16"/>
      <c r="D100" s="16"/>
      <c r="E100" s="16"/>
      <c r="F100" s="16"/>
      <c r="G100" s="16"/>
      <c r="H100" s="16"/>
      <c r="I100" s="16"/>
    </row>
    <row r="101" spans="2:10" ht="15">
      <c r="B101" s="29" t="s">
        <v>515</v>
      </c>
      <c r="C101" s="2"/>
      <c r="D101" s="2"/>
      <c r="E101" s="2"/>
      <c r="F101" s="2"/>
      <c r="G101" s="2"/>
      <c r="H101" s="2"/>
      <c r="I101" s="2"/>
    </row>
    <row r="102" spans="2:10" ht="15">
      <c r="B102" s="31" t="s">
        <v>516</v>
      </c>
      <c r="C102" s="3">
        <f>SUM(C100:C101)</f>
        <v>0</v>
      </c>
      <c r="D102" s="3">
        <f t="shared" ref="D102:I102" si="13">SUM(D100:D101)</f>
        <v>0</v>
      </c>
      <c r="E102" s="3">
        <f t="shared" si="13"/>
        <v>0</v>
      </c>
      <c r="F102" s="3">
        <f t="shared" si="13"/>
        <v>0</v>
      </c>
      <c r="G102" s="3">
        <f t="shared" si="13"/>
        <v>0</v>
      </c>
      <c r="H102" s="3">
        <f t="shared" si="13"/>
        <v>0</v>
      </c>
      <c r="I102" s="3">
        <f t="shared" si="13"/>
        <v>0</v>
      </c>
      <c r="J102" s="4"/>
    </row>
    <row r="103" spans="2:10" ht="6" customHeight="1">
      <c r="B103" s="15"/>
      <c r="C103" s="16"/>
      <c r="D103" s="16"/>
      <c r="E103" s="16"/>
      <c r="F103" s="16"/>
      <c r="G103" s="16"/>
      <c r="H103" s="16"/>
      <c r="I103" s="16"/>
    </row>
    <row r="104" spans="2:10" ht="15">
      <c r="B104" s="29" t="s">
        <v>517</v>
      </c>
      <c r="C104" s="16"/>
      <c r="D104" s="16"/>
      <c r="E104" s="16"/>
      <c r="F104" s="16"/>
      <c r="G104" s="16"/>
      <c r="H104" s="16"/>
      <c r="I104" s="16"/>
    </row>
    <row r="105" spans="2:10" ht="15">
      <c r="B105" s="29" t="s">
        <v>518</v>
      </c>
      <c r="C105" s="16"/>
      <c r="D105" s="16"/>
      <c r="E105" s="16"/>
      <c r="F105" s="16"/>
      <c r="G105" s="16"/>
      <c r="H105" s="16"/>
      <c r="I105" s="16"/>
    </row>
    <row r="106" spans="2:10" ht="15">
      <c r="B106" s="29" t="s">
        <v>519</v>
      </c>
      <c r="C106" s="2"/>
      <c r="D106" s="2"/>
      <c r="E106" s="2"/>
      <c r="F106" s="2"/>
      <c r="G106" s="2"/>
      <c r="H106" s="2"/>
      <c r="I106" s="2"/>
    </row>
    <row r="107" spans="2:10" ht="15">
      <c r="B107" s="31" t="s">
        <v>520</v>
      </c>
      <c r="C107" s="3">
        <f>SUM(C104:C106)</f>
        <v>0</v>
      </c>
      <c r="D107" s="3">
        <f t="shared" ref="D107:I107" si="14">SUM(D104:D106)</f>
        <v>0</v>
      </c>
      <c r="E107" s="3">
        <f t="shared" si="14"/>
        <v>0</v>
      </c>
      <c r="F107" s="3">
        <f t="shared" si="14"/>
        <v>0</v>
      </c>
      <c r="G107" s="3">
        <f t="shared" si="14"/>
        <v>0</v>
      </c>
      <c r="H107" s="3">
        <f t="shared" si="14"/>
        <v>0</v>
      </c>
      <c r="I107" s="3">
        <f t="shared" si="14"/>
        <v>0</v>
      </c>
      <c r="J107" s="4"/>
    </row>
    <row r="108" spans="2:10" ht="6" customHeight="1">
      <c r="B108" s="15"/>
      <c r="C108" s="16"/>
      <c r="D108" s="16"/>
      <c r="E108" s="16"/>
      <c r="F108" s="16"/>
      <c r="G108" s="16"/>
      <c r="H108" s="16"/>
      <c r="I108" s="16"/>
    </row>
    <row r="109" spans="2:10" ht="15">
      <c r="B109" s="29" t="s">
        <v>521</v>
      </c>
      <c r="C109" s="16"/>
      <c r="D109" s="16"/>
      <c r="E109" s="16"/>
      <c r="F109" s="16"/>
      <c r="G109" s="16"/>
      <c r="H109" s="16"/>
      <c r="I109" s="16"/>
    </row>
    <row r="110" spans="2:10" ht="15">
      <c r="B110" s="29" t="s">
        <v>522</v>
      </c>
      <c r="C110" s="16"/>
      <c r="D110" s="16"/>
      <c r="E110" s="16"/>
      <c r="F110" s="16"/>
      <c r="G110" s="16"/>
      <c r="H110" s="16"/>
      <c r="I110" s="16">
        <v>-63.765000000000001</v>
      </c>
    </row>
    <row r="111" spans="2:10" ht="15">
      <c r="B111" s="29" t="s">
        <v>523</v>
      </c>
      <c r="C111" s="16"/>
      <c r="D111" s="16"/>
      <c r="E111" s="16"/>
      <c r="F111" s="16"/>
      <c r="G111" s="16"/>
      <c r="H111" s="16"/>
      <c r="I111" s="16"/>
    </row>
    <row r="112" spans="2:10" ht="15">
      <c r="B112" s="29" t="s">
        <v>524</v>
      </c>
      <c r="C112" s="16"/>
      <c r="D112" s="16"/>
      <c r="E112" s="16"/>
      <c r="F112" s="16"/>
      <c r="G112" s="16"/>
      <c r="H112" s="16"/>
      <c r="I112" s="16"/>
    </row>
    <row r="113" spans="2:10" ht="15">
      <c r="B113" s="29" t="s">
        <v>525</v>
      </c>
      <c r="C113" s="16">
        <v>15.728999999999999</v>
      </c>
      <c r="D113" s="16">
        <v>19.170999999999999</v>
      </c>
      <c r="E113" s="16">
        <v>27.088001999999999</v>
      </c>
      <c r="F113" s="16">
        <v>0.46500000000000002</v>
      </c>
      <c r="G113" s="16"/>
      <c r="H113" s="16"/>
      <c r="I113" s="16">
        <v>63.765000000000001</v>
      </c>
    </row>
    <row r="114" spans="2:10" ht="15">
      <c r="B114" s="29" t="s">
        <v>526</v>
      </c>
      <c r="C114" s="2">
        <v>5.8</v>
      </c>
      <c r="D114" s="2">
        <v>6.4269999999999996</v>
      </c>
      <c r="E114" s="2"/>
      <c r="F114" s="2"/>
      <c r="G114" s="2"/>
      <c r="H114" s="2"/>
      <c r="I114" s="2"/>
    </row>
    <row r="115" spans="2:10" ht="15">
      <c r="B115" s="31" t="s">
        <v>527</v>
      </c>
      <c r="C115" s="3">
        <f>SUM(C98,C102,C107,C109:C114)</f>
        <v>21.529</v>
      </c>
      <c r="D115" s="3">
        <f t="shared" ref="D115:I115" si="15">SUM(D98,D102,D107,D109:D114)</f>
        <v>25.597999999999999</v>
      </c>
      <c r="E115" s="3">
        <f t="shared" si="15"/>
        <v>31.192166999999998</v>
      </c>
      <c r="F115" s="3">
        <f t="shared" si="15"/>
        <v>0.51300000000000001</v>
      </c>
      <c r="G115" s="3">
        <f t="shared" si="15"/>
        <v>0</v>
      </c>
      <c r="H115" s="3">
        <f t="shared" si="15"/>
        <v>0</v>
      </c>
      <c r="I115" s="3">
        <f t="shared" si="15"/>
        <v>0</v>
      </c>
      <c r="J115" s="4"/>
    </row>
    <row r="116" spans="2:10" ht="6" customHeight="1">
      <c r="B116" s="15"/>
      <c r="C116" s="19"/>
      <c r="D116" s="19"/>
      <c r="E116" s="19"/>
      <c r="F116" s="19"/>
      <c r="G116" s="19"/>
      <c r="H116" s="19"/>
      <c r="I116" s="19"/>
    </row>
    <row r="117" spans="2:10" ht="15.75" thickBot="1">
      <c r="B117" s="17" t="s">
        <v>528</v>
      </c>
      <c r="C117" s="6">
        <f>C94+C115</f>
        <v>21.529</v>
      </c>
      <c r="D117" s="6">
        <f t="shared" ref="D117:I117" si="16">D94+D115</f>
        <v>25.597999999999999</v>
      </c>
      <c r="E117" s="6">
        <f t="shared" si="16"/>
        <v>50.946569999999994</v>
      </c>
      <c r="F117" s="6">
        <f t="shared" si="16"/>
        <v>53.082999999999998</v>
      </c>
      <c r="G117" s="6">
        <f t="shared" si="16"/>
        <v>92.230999999999995</v>
      </c>
      <c r="H117" s="6">
        <f t="shared" si="16"/>
        <v>199.3</v>
      </c>
      <c r="I117" s="6">
        <f t="shared" si="16"/>
        <v>184.46799999999999</v>
      </c>
      <c r="J117" s="4"/>
    </row>
    <row r="118" spans="2:10" ht="6" customHeight="1" thickTop="1">
      <c r="B118" s="15"/>
      <c r="C118" s="16"/>
      <c r="D118" s="16"/>
      <c r="E118" s="16"/>
      <c r="F118" s="16"/>
      <c r="G118" s="16"/>
      <c r="H118" s="16"/>
      <c r="I118" s="16"/>
    </row>
    <row r="119" spans="2:10" ht="15">
      <c r="B119" s="29" t="s">
        <v>529</v>
      </c>
      <c r="C119" s="16"/>
      <c r="D119" s="16"/>
      <c r="E119" s="16"/>
      <c r="F119" s="16"/>
      <c r="G119" s="16"/>
      <c r="H119" s="16"/>
      <c r="I119" s="16"/>
    </row>
    <row r="120" spans="2:10" ht="15">
      <c r="B120" s="29" t="s">
        <v>469</v>
      </c>
      <c r="C120" s="16"/>
      <c r="D120" s="16"/>
      <c r="E120" s="16"/>
      <c r="F120" s="16"/>
      <c r="G120" s="16"/>
      <c r="H120" s="16"/>
      <c r="I120" s="16"/>
    </row>
    <row r="121" spans="2:10" ht="15">
      <c r="B121" s="29" t="s">
        <v>530</v>
      </c>
      <c r="C121" s="16">
        <v>4.532</v>
      </c>
      <c r="D121" s="16">
        <v>13.952</v>
      </c>
      <c r="E121" s="16"/>
      <c r="F121" s="16"/>
      <c r="G121" s="16"/>
      <c r="H121" s="16"/>
      <c r="I121" s="16"/>
    </row>
    <row r="122" spans="2:10" ht="15">
      <c r="B122" s="29" t="s">
        <v>531</v>
      </c>
      <c r="C122" s="16"/>
      <c r="D122" s="16"/>
      <c r="E122" s="16"/>
      <c r="F122" s="16"/>
      <c r="G122" s="16"/>
      <c r="H122" s="16"/>
      <c r="I122" s="16"/>
    </row>
    <row r="123" spans="2:10" ht="15">
      <c r="B123" s="29" t="s">
        <v>470</v>
      </c>
      <c r="C123" s="2"/>
      <c r="D123" s="2"/>
      <c r="E123" s="2"/>
      <c r="F123" s="2"/>
      <c r="G123" s="2"/>
      <c r="H123" s="2"/>
      <c r="I123" s="2"/>
    </row>
    <row r="124" spans="2:10" ht="15.75" thickBot="1">
      <c r="B124" s="17" t="s">
        <v>528</v>
      </c>
      <c r="C124" s="6">
        <f>SUM(C94,C115,C119:C123)</f>
        <v>26.061</v>
      </c>
      <c r="D124" s="6">
        <f t="shared" ref="D124:I124" si="17">SUM(D94,D115,D119:D123)</f>
        <v>39.549999999999997</v>
      </c>
      <c r="E124" s="6">
        <f t="shared" si="17"/>
        <v>50.946569999999994</v>
      </c>
      <c r="F124" s="6">
        <f t="shared" si="17"/>
        <v>53.082999999999998</v>
      </c>
      <c r="G124" s="6">
        <f t="shared" si="17"/>
        <v>92.230999999999995</v>
      </c>
      <c r="H124" s="6">
        <f t="shared" si="17"/>
        <v>199.3</v>
      </c>
      <c r="I124" s="6">
        <f t="shared" si="17"/>
        <v>184.46799999999999</v>
      </c>
      <c r="J124" s="4"/>
    </row>
    <row r="125" spans="2:10" ht="6" customHeight="1" thickTop="1">
      <c r="B125" s="15"/>
      <c r="C125" s="35"/>
      <c r="D125" s="35"/>
      <c r="E125" s="35"/>
      <c r="F125" s="35"/>
      <c r="G125" s="35"/>
      <c r="H125" s="35"/>
      <c r="I125" s="35"/>
    </row>
    <row r="126" spans="2:10" ht="15.75" thickBot="1">
      <c r="B126" s="17" t="s">
        <v>532</v>
      </c>
      <c r="C126" s="6">
        <f>C76+C124</f>
        <v>69.206999999999994</v>
      </c>
      <c r="D126" s="6">
        <f t="shared" ref="D126:I126" si="18">D76+D124</f>
        <v>113.636</v>
      </c>
      <c r="E126" s="6">
        <f t="shared" si="18"/>
        <v>161.33904799999999</v>
      </c>
      <c r="F126" s="6">
        <f t="shared" si="18"/>
        <v>169.43599999999998</v>
      </c>
      <c r="G126" s="6">
        <f t="shared" si="18"/>
        <v>263.98900000000003</v>
      </c>
      <c r="H126" s="6">
        <f t="shared" si="18"/>
        <v>241.358</v>
      </c>
      <c r="I126" s="6">
        <f t="shared" si="18"/>
        <v>601.94799999999998</v>
      </c>
      <c r="J126" s="4"/>
    </row>
    <row r="127" spans="2:10" ht="6" customHeight="1" thickTop="1">
      <c r="C127" s="25"/>
      <c r="D127" s="25"/>
      <c r="E127" s="25"/>
      <c r="F127" s="25"/>
      <c r="G127" s="25"/>
      <c r="H127" s="25"/>
      <c r="I127" s="25"/>
    </row>
    <row r="128" spans="2:10" ht="15">
      <c r="B128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F935-D6A5-460F-AFB8-B1D757EE98FE}">
  <sheetPr>
    <pageSetUpPr fitToPage="1"/>
  </sheetPr>
  <dimension ref="B1:J56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/>
  <cols>
    <col min="1" max="1" width="2.625" customWidth="1"/>
    <col min="2" max="2" width="36.375" bestFit="1" customWidth="1"/>
    <col min="3" max="9" width="9.625" customWidth="1"/>
  </cols>
  <sheetData>
    <row r="1" spans="2:10" ht="15">
      <c r="B1" s="12" t="str">
        <f>+Cover!B3</f>
        <v>Knowledge Marine &amp; Engineering Works Ltd.</v>
      </c>
    </row>
    <row r="3" spans="2:10" ht="15">
      <c r="B3" s="13" t="s">
        <v>274</v>
      </c>
      <c r="C3" s="14"/>
      <c r="D3" s="14"/>
      <c r="E3" s="14"/>
      <c r="F3" s="14"/>
      <c r="G3" s="14"/>
      <c r="H3" s="14"/>
      <c r="I3" s="14"/>
    </row>
    <row r="4" spans="2:10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4"/>
    </row>
    <row r="5" spans="2:10" ht="15">
      <c r="B5" s="8"/>
      <c r="C5" s="10" t="s">
        <v>9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2:10" ht="15">
      <c r="B6" s="29" t="s">
        <v>317</v>
      </c>
      <c r="C6" s="16"/>
      <c r="D6" s="16"/>
      <c r="E6" s="16"/>
      <c r="F6" s="16"/>
      <c r="G6" s="16"/>
      <c r="H6" s="16"/>
      <c r="I6" s="16"/>
    </row>
    <row r="7" spans="2:10" ht="15">
      <c r="B7" s="29" t="s">
        <v>407</v>
      </c>
      <c r="C7" s="16"/>
      <c r="D7" s="16"/>
      <c r="E7" s="16"/>
      <c r="F7" s="16"/>
      <c r="G7" s="16"/>
      <c r="H7" s="16"/>
      <c r="I7" s="16"/>
    </row>
    <row r="8" spans="2:10" ht="15">
      <c r="B8" s="15" t="s">
        <v>408</v>
      </c>
      <c r="C8" s="16"/>
      <c r="D8" s="16"/>
      <c r="E8" s="16"/>
      <c r="F8" s="16"/>
      <c r="G8" s="16"/>
      <c r="H8" s="16"/>
      <c r="I8" s="16"/>
    </row>
    <row r="9" spans="2:10" ht="15">
      <c r="B9" s="29" t="s">
        <v>409</v>
      </c>
      <c r="C9" s="16"/>
      <c r="D9" s="16"/>
      <c r="E9" s="16"/>
      <c r="F9" s="16"/>
      <c r="G9" s="16"/>
      <c r="H9" s="16"/>
      <c r="I9" s="16"/>
    </row>
    <row r="10" spans="2:10" ht="15">
      <c r="B10" s="29" t="s">
        <v>410</v>
      </c>
      <c r="C10" s="16">
        <v>8.9999999999999993E-3</v>
      </c>
      <c r="D10" s="16">
        <v>4.0000000000000001E-3</v>
      </c>
      <c r="E10" s="16"/>
      <c r="F10" s="16"/>
      <c r="G10" s="16"/>
      <c r="H10" s="16"/>
      <c r="I10" s="16"/>
    </row>
    <row r="11" spans="2:10" ht="15">
      <c r="B11" s="29" t="s">
        <v>321</v>
      </c>
      <c r="C11" s="16"/>
      <c r="D11" s="16"/>
      <c r="E11" s="16"/>
      <c r="F11" s="16"/>
      <c r="G11" s="16"/>
      <c r="H11" s="16"/>
      <c r="I11" s="16"/>
    </row>
    <row r="12" spans="2:10" ht="15">
      <c r="B12" s="29" t="s">
        <v>266</v>
      </c>
      <c r="C12" s="16"/>
      <c r="D12" s="16"/>
      <c r="E12" s="16"/>
      <c r="F12" s="16"/>
      <c r="G12" s="16"/>
      <c r="H12" s="16"/>
      <c r="I12" s="16"/>
    </row>
    <row r="13" spans="2:10" ht="15">
      <c r="B13" s="29" t="s">
        <v>411</v>
      </c>
      <c r="C13" s="16"/>
      <c r="D13" s="16"/>
      <c r="E13" s="16"/>
      <c r="F13" s="16"/>
      <c r="G13" s="16"/>
      <c r="H13" s="16"/>
      <c r="I13" s="16"/>
    </row>
    <row r="14" spans="2:10" ht="15">
      <c r="B14" s="29" t="s">
        <v>412</v>
      </c>
      <c r="C14" s="16"/>
      <c r="D14" s="16"/>
      <c r="E14" s="16"/>
      <c r="F14" s="16"/>
      <c r="G14" s="16"/>
      <c r="H14" s="16"/>
      <c r="I14" s="16"/>
    </row>
    <row r="15" spans="2:10" ht="15">
      <c r="B15" s="29" t="s">
        <v>413</v>
      </c>
      <c r="C15" s="16"/>
      <c r="D15" s="16"/>
      <c r="E15" s="16"/>
      <c r="F15" s="16"/>
      <c r="G15" s="16"/>
      <c r="H15" s="16"/>
      <c r="I15" s="16"/>
    </row>
    <row r="16" spans="2:10" ht="15">
      <c r="B16" s="29" t="s">
        <v>414</v>
      </c>
      <c r="C16" s="2"/>
      <c r="D16" s="2">
        <v>1.089</v>
      </c>
      <c r="E16" s="2"/>
      <c r="F16" s="2"/>
      <c r="G16" s="2"/>
      <c r="H16" s="2"/>
      <c r="I16" s="2"/>
    </row>
    <row r="17" spans="2:10" ht="15">
      <c r="B17" s="17" t="s">
        <v>415</v>
      </c>
      <c r="C17" s="3">
        <f>SUM(C6:C16)</f>
        <v>8.9999999999999993E-3</v>
      </c>
      <c r="D17" s="3">
        <f t="shared" ref="D17:I17" si="0">SUM(D6:D16)</f>
        <v>1.093</v>
      </c>
      <c r="E17" s="3">
        <f t="shared" si="0"/>
        <v>0</v>
      </c>
      <c r="F17" s="3">
        <f t="shared" si="0"/>
        <v>0</v>
      </c>
      <c r="G17" s="3">
        <f t="shared" si="0"/>
        <v>0</v>
      </c>
      <c r="H17" s="3">
        <f t="shared" si="0"/>
        <v>0</v>
      </c>
      <c r="I17" s="3">
        <f t="shared" si="0"/>
        <v>0</v>
      </c>
      <c r="J17" s="4"/>
    </row>
    <row r="18" spans="2:10" ht="6" customHeight="1">
      <c r="B18" s="15"/>
      <c r="C18" s="16"/>
      <c r="D18" s="16"/>
      <c r="E18" s="16"/>
      <c r="F18" s="16"/>
      <c r="G18" s="16"/>
      <c r="H18" s="16"/>
      <c r="I18" s="16"/>
    </row>
    <row r="19" spans="2:10" ht="15">
      <c r="B19" s="29" t="s">
        <v>10</v>
      </c>
      <c r="C19" s="16">
        <v>3.6930000000000001</v>
      </c>
      <c r="D19" s="16">
        <v>1.0509999999999999</v>
      </c>
      <c r="E19" s="16"/>
      <c r="F19" s="16"/>
      <c r="G19" s="16"/>
      <c r="H19" s="16"/>
      <c r="I19" s="16"/>
    </row>
    <row r="20" spans="2:10" ht="15">
      <c r="B20" s="29" t="s">
        <v>416</v>
      </c>
      <c r="C20" s="16"/>
      <c r="D20" s="16"/>
      <c r="E20" s="16"/>
      <c r="F20" s="16"/>
      <c r="G20" s="16"/>
      <c r="H20" s="16"/>
      <c r="I20" s="16"/>
    </row>
    <row r="21" spans="2:10" ht="15">
      <c r="B21" s="29" t="s">
        <v>417</v>
      </c>
      <c r="C21" s="16"/>
      <c r="D21" s="16"/>
      <c r="E21" s="16"/>
      <c r="F21" s="16"/>
      <c r="G21" s="16"/>
      <c r="H21" s="16"/>
      <c r="I21" s="16"/>
    </row>
    <row r="22" spans="2:10" ht="15">
      <c r="B22" s="29" t="s">
        <v>418</v>
      </c>
      <c r="C22" s="16"/>
      <c r="D22" s="16"/>
      <c r="E22" s="16"/>
      <c r="F22" s="16"/>
      <c r="G22" s="16"/>
      <c r="H22" s="16"/>
      <c r="I22" s="16"/>
    </row>
    <row r="23" spans="2:10" ht="15">
      <c r="B23" s="29" t="s">
        <v>419</v>
      </c>
      <c r="C23" s="16"/>
      <c r="D23" s="16"/>
      <c r="E23" s="16"/>
      <c r="F23" s="16"/>
      <c r="G23" s="16"/>
      <c r="H23" s="16"/>
      <c r="I23" s="16"/>
    </row>
    <row r="24" spans="2:10" ht="15">
      <c r="B24" s="29" t="s">
        <v>420</v>
      </c>
      <c r="C24" s="2">
        <v>2.9000000000000001E-2</v>
      </c>
      <c r="D24" s="2">
        <v>3.7130000000000001</v>
      </c>
      <c r="E24" s="2">
        <v>9.4731170000000002</v>
      </c>
      <c r="F24" s="2">
        <v>21.39</v>
      </c>
      <c r="G24" s="2">
        <v>30.527999999999999</v>
      </c>
      <c r="H24" s="2">
        <v>43.610999999999997</v>
      </c>
      <c r="I24" s="2">
        <v>55.338000000000001</v>
      </c>
    </row>
    <row r="25" spans="2:10" ht="15">
      <c r="B25" s="17" t="s">
        <v>421</v>
      </c>
      <c r="C25" s="3">
        <f>SUM(C19:C24)</f>
        <v>3.722</v>
      </c>
      <c r="D25" s="3">
        <f t="shared" ref="D25:I25" si="1">SUM(D19:D24)</f>
        <v>4.7640000000000002</v>
      </c>
      <c r="E25" s="3">
        <f t="shared" si="1"/>
        <v>9.4731170000000002</v>
      </c>
      <c r="F25" s="3">
        <f t="shared" si="1"/>
        <v>21.39</v>
      </c>
      <c r="G25" s="3">
        <f t="shared" si="1"/>
        <v>30.527999999999999</v>
      </c>
      <c r="H25" s="3">
        <f t="shared" si="1"/>
        <v>43.610999999999997</v>
      </c>
      <c r="I25" s="3">
        <f t="shared" si="1"/>
        <v>55.338000000000001</v>
      </c>
      <c r="J25" s="4"/>
    </row>
    <row r="26" spans="2:10" ht="6" customHeight="1">
      <c r="B26" s="15"/>
      <c r="C26" s="19"/>
      <c r="D26" s="19"/>
      <c r="E26" s="19"/>
      <c r="F26" s="19"/>
      <c r="G26" s="19"/>
      <c r="H26" s="19"/>
      <c r="I26" s="19"/>
    </row>
    <row r="27" spans="2:10" ht="15.75" thickBot="1">
      <c r="B27" s="17" t="s">
        <v>422</v>
      </c>
      <c r="C27" s="6">
        <f>C25-C17</f>
        <v>3.7130000000000001</v>
      </c>
      <c r="D27" s="6">
        <f t="shared" ref="D27:I27" si="2">D25-D17</f>
        <v>3.6710000000000003</v>
      </c>
      <c r="E27" s="6">
        <f t="shared" si="2"/>
        <v>9.4731170000000002</v>
      </c>
      <c r="F27" s="6">
        <f t="shared" si="2"/>
        <v>21.39</v>
      </c>
      <c r="G27" s="6">
        <f t="shared" si="2"/>
        <v>30.527999999999999</v>
      </c>
      <c r="H27" s="6">
        <f t="shared" si="2"/>
        <v>43.610999999999997</v>
      </c>
      <c r="I27" s="6">
        <f t="shared" si="2"/>
        <v>55.338000000000001</v>
      </c>
      <c r="J27" s="4"/>
    </row>
    <row r="28" spans="2:10" ht="6" customHeight="1" thickTop="1">
      <c r="B28" s="15"/>
      <c r="C28" s="16"/>
      <c r="D28" s="16"/>
      <c r="E28" s="16"/>
      <c r="F28" s="16"/>
      <c r="G28" s="16"/>
      <c r="H28" s="16"/>
      <c r="I28" s="16"/>
    </row>
    <row r="29" spans="2:10" ht="15">
      <c r="B29" s="29" t="s">
        <v>423</v>
      </c>
      <c r="C29" s="16"/>
      <c r="D29" s="16"/>
      <c r="E29" s="16"/>
      <c r="F29" s="16"/>
      <c r="G29" s="16"/>
      <c r="H29" s="16"/>
      <c r="I29" s="16"/>
    </row>
    <row r="30" spans="2:10" ht="15">
      <c r="B30" s="29" t="s">
        <v>424</v>
      </c>
      <c r="C30" s="16"/>
      <c r="D30" s="16"/>
      <c r="E30" s="16"/>
      <c r="F30" s="16"/>
      <c r="G30" s="16"/>
      <c r="H30" s="16"/>
      <c r="I30" s="16"/>
    </row>
    <row r="31" spans="2:10" ht="15">
      <c r="B31" s="29" t="s">
        <v>425</v>
      </c>
      <c r="C31" s="16"/>
      <c r="D31" s="16"/>
      <c r="E31" s="16"/>
      <c r="F31" s="16"/>
      <c r="G31" s="16"/>
      <c r="H31" s="16"/>
      <c r="I31" s="16"/>
    </row>
    <row r="32" spans="2:10" ht="15">
      <c r="B32" s="29" t="s">
        <v>426</v>
      </c>
      <c r="C32" s="16"/>
      <c r="D32" s="16"/>
      <c r="E32" s="16"/>
      <c r="F32" s="16"/>
      <c r="G32" s="16"/>
      <c r="H32" s="16"/>
      <c r="I32" s="16"/>
    </row>
    <row r="33" spans="2:10" ht="15">
      <c r="B33" s="29" t="s">
        <v>427</v>
      </c>
      <c r="C33" s="16"/>
      <c r="D33" s="16"/>
      <c r="E33" s="16"/>
      <c r="F33" s="16"/>
      <c r="G33" s="16"/>
      <c r="H33" s="16"/>
      <c r="I33" s="16"/>
    </row>
    <row r="34" spans="2:10" ht="15">
      <c r="B34" s="29" t="s">
        <v>428</v>
      </c>
      <c r="C34" s="16"/>
      <c r="D34" s="16"/>
      <c r="E34" s="16"/>
      <c r="F34" s="16"/>
      <c r="G34" s="16"/>
      <c r="H34" s="16"/>
      <c r="I34" s="16"/>
    </row>
    <row r="35" spans="2:10" ht="15">
      <c r="B35" s="29" t="s">
        <v>429</v>
      </c>
      <c r="C35" s="16"/>
      <c r="D35" s="16"/>
      <c r="E35" s="16"/>
      <c r="F35" s="16"/>
      <c r="G35" s="16"/>
      <c r="H35" s="16"/>
      <c r="I35" s="16"/>
    </row>
    <row r="36" spans="2:10" ht="15">
      <c r="B36" s="29" t="s">
        <v>430</v>
      </c>
      <c r="C36" s="16"/>
      <c r="D36" s="16"/>
      <c r="E36" s="16"/>
      <c r="F36" s="16"/>
      <c r="G36" s="16"/>
      <c r="H36" s="16"/>
      <c r="I36" s="16"/>
    </row>
    <row r="37" spans="2:10" ht="15">
      <c r="B37" s="15" t="s">
        <v>431</v>
      </c>
      <c r="C37" s="2">
        <v>19.402999999999999</v>
      </c>
      <c r="D37" s="2">
        <v>18.969000000000001</v>
      </c>
      <c r="E37" s="2"/>
      <c r="F37" s="2"/>
      <c r="G37" s="2"/>
      <c r="H37" s="2"/>
      <c r="I37" s="2"/>
    </row>
    <row r="38" spans="2:10" ht="15">
      <c r="B38" s="17" t="s">
        <v>432</v>
      </c>
      <c r="C38" s="3">
        <f>SUM(C29:C37)</f>
        <v>19.402999999999999</v>
      </c>
      <c r="D38" s="3">
        <f t="shared" ref="D38:I38" si="3">SUM(D29:D37)</f>
        <v>18.969000000000001</v>
      </c>
      <c r="E38" s="3">
        <f t="shared" si="3"/>
        <v>0</v>
      </c>
      <c r="F38" s="3">
        <f t="shared" si="3"/>
        <v>0</v>
      </c>
      <c r="G38" s="3">
        <f t="shared" si="3"/>
        <v>0</v>
      </c>
      <c r="H38" s="3">
        <f t="shared" si="3"/>
        <v>0</v>
      </c>
      <c r="I38" s="3">
        <f t="shared" si="3"/>
        <v>0</v>
      </c>
      <c r="J38" s="4"/>
    </row>
    <row r="39" spans="2:10" ht="6" customHeight="1">
      <c r="B39" s="15"/>
      <c r="C39" s="16"/>
      <c r="D39" s="16"/>
      <c r="E39" s="16"/>
      <c r="F39" s="16"/>
      <c r="G39" s="16"/>
      <c r="H39" s="16"/>
      <c r="I39" s="16"/>
    </row>
    <row r="40" spans="2:10" ht="15">
      <c r="B40" s="29" t="s">
        <v>433</v>
      </c>
      <c r="C40" s="16"/>
      <c r="D40" s="16"/>
      <c r="E40" s="16"/>
      <c r="F40" s="16"/>
      <c r="G40" s="16"/>
      <c r="H40" s="16"/>
      <c r="I40" s="16"/>
    </row>
    <row r="41" spans="2:10" ht="15">
      <c r="B41" s="29" t="s">
        <v>434</v>
      </c>
      <c r="C41" s="16"/>
      <c r="D41" s="16"/>
      <c r="E41" s="16"/>
      <c r="F41" s="16"/>
      <c r="G41" s="16"/>
      <c r="H41" s="16"/>
      <c r="I41" s="16"/>
    </row>
    <row r="42" spans="2:10" ht="15">
      <c r="B42" s="29" t="s">
        <v>435</v>
      </c>
      <c r="C42" s="2"/>
      <c r="D42" s="2"/>
      <c r="E42" s="2"/>
      <c r="F42" s="2"/>
      <c r="G42" s="2"/>
      <c r="H42" s="2"/>
      <c r="I42" s="2"/>
    </row>
    <row r="43" spans="2:10" ht="15">
      <c r="B43" s="17" t="s">
        <v>436</v>
      </c>
      <c r="C43" s="3">
        <f>SUM(C40:C42)</f>
        <v>0</v>
      </c>
      <c r="D43" s="3">
        <f t="shared" ref="D43:I43" si="4">SUM(D40:D42)</f>
        <v>0</v>
      </c>
      <c r="E43" s="3">
        <f t="shared" si="4"/>
        <v>0</v>
      </c>
      <c r="F43" s="3">
        <f t="shared" si="4"/>
        <v>0</v>
      </c>
      <c r="G43" s="3">
        <f t="shared" si="4"/>
        <v>0</v>
      </c>
      <c r="H43" s="3">
        <f t="shared" si="4"/>
        <v>0</v>
      </c>
      <c r="I43" s="3">
        <f t="shared" si="4"/>
        <v>0</v>
      </c>
      <c r="J43" s="4"/>
    </row>
    <row r="44" spans="2:10" ht="6" customHeight="1">
      <c r="B44" s="15"/>
      <c r="C44" s="16"/>
      <c r="D44" s="16"/>
      <c r="E44" s="16"/>
      <c r="F44" s="16"/>
      <c r="G44" s="16"/>
      <c r="H44" s="16"/>
      <c r="I44" s="16"/>
    </row>
    <row r="45" spans="2:10" ht="15">
      <c r="B45" s="29" t="s">
        <v>437</v>
      </c>
      <c r="C45" s="16">
        <v>2.5999999999999999E-2</v>
      </c>
      <c r="D45" s="16">
        <v>4.1000000000000002E-2</v>
      </c>
      <c r="E45" s="16"/>
      <c r="F45" s="16">
        <v>0.47299999999999998</v>
      </c>
      <c r="G45" s="16">
        <v>0.92600000000000005</v>
      </c>
      <c r="H45" s="16">
        <v>1.6160000000000001</v>
      </c>
      <c r="I45" s="16">
        <v>2.1120000000000001</v>
      </c>
    </row>
    <row r="46" spans="2:10" ht="15">
      <c r="B46" s="29" t="s">
        <v>438</v>
      </c>
      <c r="C46" s="16"/>
      <c r="D46" s="16"/>
      <c r="E46" s="16"/>
      <c r="F46" s="16"/>
      <c r="G46" s="16"/>
      <c r="H46" s="16"/>
      <c r="I46" s="16"/>
    </row>
    <row r="47" spans="2:10" ht="15">
      <c r="B47" s="29" t="s">
        <v>439</v>
      </c>
      <c r="C47" s="16"/>
      <c r="D47" s="16"/>
      <c r="E47" s="16"/>
      <c r="F47" s="16"/>
      <c r="G47" s="16"/>
      <c r="H47" s="16"/>
      <c r="I47" s="16"/>
    </row>
    <row r="48" spans="2:10" ht="15">
      <c r="B48" s="29" t="s">
        <v>440</v>
      </c>
      <c r="C48" s="16"/>
      <c r="D48" s="16"/>
      <c r="E48" s="16"/>
      <c r="F48" s="16"/>
      <c r="G48" s="16"/>
      <c r="H48" s="16"/>
      <c r="I48" s="16"/>
    </row>
    <row r="49" spans="2:10" ht="15">
      <c r="B49" s="29" t="s">
        <v>441</v>
      </c>
      <c r="C49" s="16"/>
      <c r="D49" s="16"/>
      <c r="E49" s="16"/>
      <c r="F49" s="16"/>
      <c r="G49" s="16"/>
      <c r="H49" s="16"/>
      <c r="I49" s="16"/>
    </row>
    <row r="50" spans="2:10" ht="15">
      <c r="B50" s="29" t="s">
        <v>442</v>
      </c>
      <c r="C50" s="2"/>
      <c r="D50" s="2"/>
      <c r="E50" s="2"/>
      <c r="F50" s="2"/>
      <c r="G50" s="2"/>
      <c r="H50" s="2"/>
      <c r="I50" s="2"/>
    </row>
    <row r="51" spans="2:10" ht="15">
      <c r="B51" s="17" t="s">
        <v>443</v>
      </c>
      <c r="C51" s="3">
        <f>SUM(C45:C50)</f>
        <v>2.5999999999999999E-2</v>
      </c>
      <c r="D51" s="3">
        <f t="shared" ref="D51:I51" si="5">SUM(D45:D50)</f>
        <v>4.1000000000000002E-2</v>
      </c>
      <c r="E51" s="3">
        <f t="shared" si="5"/>
        <v>0</v>
      </c>
      <c r="F51" s="3">
        <f t="shared" si="5"/>
        <v>0.47299999999999998</v>
      </c>
      <c r="G51" s="3">
        <f t="shared" si="5"/>
        <v>0.92600000000000005</v>
      </c>
      <c r="H51" s="3">
        <f t="shared" si="5"/>
        <v>1.6160000000000001</v>
      </c>
      <c r="I51" s="3">
        <f t="shared" si="5"/>
        <v>2.1120000000000001</v>
      </c>
      <c r="J51" s="4"/>
    </row>
    <row r="52" spans="2:10" ht="6" customHeight="1">
      <c r="B52" s="15"/>
      <c r="C52" s="19"/>
      <c r="D52" s="19"/>
      <c r="E52" s="19"/>
      <c r="F52" s="19"/>
      <c r="G52" s="19"/>
      <c r="H52" s="19"/>
      <c r="I52" s="19"/>
    </row>
    <row r="53" spans="2:10" ht="15.75" thickBot="1">
      <c r="B53" s="17" t="s">
        <v>432</v>
      </c>
      <c r="C53" s="6">
        <f>C38+C43+C51</f>
        <v>19.428999999999998</v>
      </c>
      <c r="D53" s="6">
        <f t="shared" ref="D53:I53" si="6">D38+D43+D51</f>
        <v>19.010000000000002</v>
      </c>
      <c r="E53" s="6">
        <f t="shared" si="6"/>
        <v>0</v>
      </c>
      <c r="F53" s="6">
        <f t="shared" si="6"/>
        <v>0.47299999999999998</v>
      </c>
      <c r="G53" s="6">
        <f t="shared" si="6"/>
        <v>0.92600000000000005</v>
      </c>
      <c r="H53" s="6">
        <f t="shared" si="6"/>
        <v>1.6160000000000001</v>
      </c>
      <c r="I53" s="6">
        <f t="shared" si="6"/>
        <v>2.1120000000000001</v>
      </c>
      <c r="J53" s="4"/>
    </row>
    <row r="54" spans="2:10" ht="6" customHeight="1" thickTop="1">
      <c r="B54" s="15"/>
      <c r="C54" s="16"/>
      <c r="D54" s="16"/>
      <c r="E54" s="16"/>
      <c r="F54" s="16"/>
      <c r="G54" s="16"/>
      <c r="H54" s="16"/>
      <c r="I54" s="16"/>
    </row>
    <row r="55" spans="2:10" ht="6" customHeight="1">
      <c r="C55" s="25"/>
      <c r="D55" s="25"/>
      <c r="E55" s="25"/>
      <c r="F55" s="25"/>
      <c r="G55" s="25"/>
      <c r="H55" s="25"/>
      <c r="I55" s="25"/>
    </row>
    <row r="56" spans="2:10" ht="15">
      <c r="B56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6065-79E5-42D5-8B7C-BFF1B3AFEA17}">
  <sheetPr>
    <pageSetUpPr fitToPage="1"/>
  </sheetPr>
  <dimension ref="B1:J84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/>
  <cols>
    <col min="1" max="1" width="2.625" customWidth="1"/>
    <col min="2" max="2" width="53.625" bestFit="1" customWidth="1"/>
    <col min="3" max="9" width="9.625" customWidth="1"/>
  </cols>
  <sheetData>
    <row r="1" spans="2:10" ht="15">
      <c r="B1" s="12" t="str">
        <f>+Cover!B3</f>
        <v>Knowledge Marine &amp; Engineering Works Ltd.</v>
      </c>
    </row>
    <row r="3" spans="2:10" ht="15">
      <c r="B3" s="13" t="s">
        <v>406</v>
      </c>
      <c r="C3" s="14"/>
      <c r="D3" s="14"/>
      <c r="E3" s="14"/>
      <c r="F3" s="14"/>
      <c r="G3" s="14"/>
      <c r="H3" s="14"/>
      <c r="I3" s="14"/>
    </row>
    <row r="4" spans="2:10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4"/>
    </row>
    <row r="5" spans="2:10" ht="15">
      <c r="B5" s="8"/>
      <c r="C5" s="10" t="s">
        <v>9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2:10" ht="15">
      <c r="B6" s="29" t="s">
        <v>283</v>
      </c>
      <c r="C6" s="16"/>
      <c r="D6" s="16"/>
      <c r="E6" s="16"/>
      <c r="F6" s="16"/>
      <c r="G6" s="16"/>
      <c r="H6" s="16"/>
      <c r="I6" s="16"/>
    </row>
    <row r="7" spans="2:10" ht="15">
      <c r="B7" s="29" t="s">
        <v>285</v>
      </c>
      <c r="C7" s="16"/>
      <c r="D7" s="16"/>
      <c r="E7" s="16"/>
      <c r="F7" s="16"/>
      <c r="G7" s="16"/>
      <c r="H7" s="16"/>
      <c r="I7" s="16"/>
    </row>
    <row r="8" spans="2:10" ht="15">
      <c r="B8" s="29" t="s">
        <v>286</v>
      </c>
      <c r="C8" s="16"/>
      <c r="D8" s="16"/>
      <c r="E8" s="16"/>
      <c r="F8" s="16"/>
      <c r="G8" s="16"/>
      <c r="H8" s="16"/>
      <c r="I8" s="16"/>
    </row>
    <row r="9" spans="2:10" ht="15">
      <c r="B9" s="29" t="s">
        <v>287</v>
      </c>
      <c r="C9" s="16"/>
      <c r="D9" s="16"/>
      <c r="E9" s="16"/>
      <c r="F9" s="16"/>
      <c r="G9" s="16"/>
      <c r="H9" s="16"/>
      <c r="I9" s="16"/>
    </row>
    <row r="10" spans="2:10" ht="15">
      <c r="B10" s="29" t="s">
        <v>288</v>
      </c>
      <c r="C10" s="16"/>
      <c r="D10" s="16"/>
      <c r="E10" s="16"/>
      <c r="F10" s="16"/>
      <c r="G10" s="16"/>
      <c r="H10" s="16"/>
      <c r="I10" s="16"/>
    </row>
    <row r="11" spans="2:10" ht="6" customHeight="1">
      <c r="B11" s="15"/>
      <c r="C11" s="16"/>
      <c r="D11" s="16"/>
      <c r="E11" s="16"/>
      <c r="F11" s="16"/>
      <c r="G11" s="16"/>
      <c r="H11" s="16"/>
      <c r="I11" s="16"/>
    </row>
    <row r="12" spans="2:10" ht="15">
      <c r="B12" s="29" t="s">
        <v>358</v>
      </c>
      <c r="C12" s="16"/>
      <c r="D12" s="16"/>
      <c r="E12" s="16"/>
      <c r="F12" s="16"/>
      <c r="G12" s="16"/>
      <c r="H12" s="16"/>
      <c r="I12" s="16"/>
    </row>
    <row r="13" spans="2:10" ht="15">
      <c r="B13" s="29" t="s">
        <v>359</v>
      </c>
      <c r="C13" s="16"/>
      <c r="D13" s="16"/>
      <c r="E13" s="16"/>
      <c r="F13" s="16"/>
      <c r="G13" s="16"/>
      <c r="H13" s="16"/>
      <c r="I13" s="16"/>
    </row>
    <row r="14" spans="2:10" ht="15">
      <c r="B14" s="29" t="s">
        <v>360</v>
      </c>
      <c r="C14" s="2"/>
      <c r="D14" s="2"/>
      <c r="E14" s="2"/>
      <c r="F14" s="2"/>
      <c r="G14" s="2"/>
      <c r="H14" s="2"/>
      <c r="I14" s="2"/>
    </row>
    <row r="15" spans="2:10" ht="15">
      <c r="B15" s="30" t="s">
        <v>361</v>
      </c>
      <c r="C15" s="3">
        <f>SUM(C12:C14)</f>
        <v>0</v>
      </c>
      <c r="D15" s="3">
        <f t="shared" ref="D15:I15" si="0">SUM(D12:D14)</f>
        <v>0</v>
      </c>
      <c r="E15" s="3">
        <f t="shared" si="0"/>
        <v>0</v>
      </c>
      <c r="F15" s="3">
        <f t="shared" si="0"/>
        <v>0</v>
      </c>
      <c r="G15" s="3">
        <f t="shared" si="0"/>
        <v>0</v>
      </c>
      <c r="H15" s="3">
        <f t="shared" si="0"/>
        <v>0</v>
      </c>
      <c r="I15" s="3">
        <f t="shared" si="0"/>
        <v>0</v>
      </c>
      <c r="J15" s="4"/>
    </row>
    <row r="16" spans="2:10" ht="6" customHeight="1">
      <c r="B16" s="15"/>
      <c r="C16" s="16"/>
      <c r="D16" s="16"/>
      <c r="E16" s="16"/>
      <c r="F16" s="16"/>
      <c r="G16" s="16"/>
      <c r="H16" s="16"/>
      <c r="I16" s="16"/>
    </row>
    <row r="17" spans="2:10" ht="15">
      <c r="B17" s="29" t="s">
        <v>362</v>
      </c>
      <c r="C17" s="16"/>
      <c r="D17" s="16"/>
      <c r="E17" s="16"/>
      <c r="F17" s="16"/>
      <c r="G17" s="16"/>
      <c r="H17" s="16"/>
      <c r="I17" s="16"/>
    </row>
    <row r="18" spans="2:10" ht="15">
      <c r="B18" s="29" t="s">
        <v>363</v>
      </c>
      <c r="C18" s="2"/>
      <c r="D18" s="2"/>
      <c r="E18" s="2"/>
      <c r="F18" s="2"/>
      <c r="G18" s="2"/>
      <c r="H18" s="2"/>
      <c r="I18" s="2"/>
    </row>
    <row r="19" spans="2:10" ht="15">
      <c r="B19" s="31" t="s">
        <v>290</v>
      </c>
      <c r="C19" s="3">
        <f t="shared" ref="C19:I19" si="1">SUM(C6:C10,C17:C18,C15)</f>
        <v>0</v>
      </c>
      <c r="D19" s="3">
        <f t="shared" si="1"/>
        <v>0</v>
      </c>
      <c r="E19" s="3">
        <f t="shared" si="1"/>
        <v>0</v>
      </c>
      <c r="F19" s="3">
        <f t="shared" si="1"/>
        <v>0</v>
      </c>
      <c r="G19" s="3">
        <f t="shared" si="1"/>
        <v>0</v>
      </c>
      <c r="H19" s="3">
        <f t="shared" si="1"/>
        <v>0</v>
      </c>
      <c r="I19" s="3">
        <f t="shared" si="1"/>
        <v>0</v>
      </c>
      <c r="J19" s="4"/>
    </row>
    <row r="20" spans="2:10" ht="6" customHeight="1">
      <c r="B20" s="15"/>
      <c r="C20" s="16"/>
      <c r="D20" s="16"/>
      <c r="E20" s="16"/>
      <c r="F20" s="16"/>
      <c r="G20" s="16"/>
      <c r="H20" s="16"/>
      <c r="I20" s="16"/>
    </row>
    <row r="21" spans="2:10" ht="15">
      <c r="B21" s="29" t="s">
        <v>283</v>
      </c>
      <c r="C21" s="16"/>
      <c r="D21" s="16"/>
      <c r="E21" s="16"/>
      <c r="F21" s="16"/>
      <c r="G21" s="16"/>
      <c r="H21" s="16"/>
      <c r="I21" s="16"/>
    </row>
    <row r="22" spans="2:10" ht="15">
      <c r="B22" s="29" t="s">
        <v>285</v>
      </c>
      <c r="C22" s="16"/>
      <c r="D22" s="16">
        <v>0.11</v>
      </c>
      <c r="E22" s="16">
        <v>0.11</v>
      </c>
      <c r="F22" s="16"/>
      <c r="G22" s="16"/>
      <c r="H22" s="16"/>
      <c r="I22" s="16"/>
    </row>
    <row r="23" spans="2:10" ht="15">
      <c r="B23" s="29" t="s">
        <v>291</v>
      </c>
      <c r="C23" s="16"/>
      <c r="D23" s="16"/>
      <c r="E23" s="16"/>
      <c r="F23" s="16"/>
      <c r="G23" s="16"/>
      <c r="H23" s="16"/>
      <c r="I23" s="16"/>
    </row>
    <row r="24" spans="2:10" ht="15">
      <c r="B24" s="29" t="s">
        <v>292</v>
      </c>
      <c r="C24" s="16"/>
      <c r="D24" s="16"/>
      <c r="E24" s="16"/>
      <c r="F24" s="16"/>
      <c r="G24" s="16"/>
      <c r="H24" s="16"/>
      <c r="I24" s="16"/>
    </row>
    <row r="25" spans="2:10" ht="15">
      <c r="B25" s="29" t="s">
        <v>293</v>
      </c>
      <c r="C25" s="16"/>
      <c r="D25" s="16"/>
      <c r="E25" s="16"/>
      <c r="F25" s="16"/>
      <c r="G25" s="16"/>
      <c r="H25" s="16"/>
      <c r="I25" s="16"/>
    </row>
    <row r="26" spans="2:10" ht="6" customHeight="1">
      <c r="B26" s="15"/>
      <c r="C26" s="16"/>
      <c r="D26" s="16"/>
      <c r="E26" s="16"/>
      <c r="F26" s="16"/>
      <c r="G26" s="16"/>
      <c r="H26" s="16"/>
      <c r="I26" s="16"/>
    </row>
    <row r="27" spans="2:10" ht="15">
      <c r="B27" s="29" t="s">
        <v>358</v>
      </c>
      <c r="C27" s="16"/>
      <c r="D27" s="16"/>
      <c r="E27" s="16"/>
      <c r="F27" s="16"/>
      <c r="G27" s="16"/>
      <c r="H27" s="16"/>
      <c r="I27" s="16"/>
    </row>
    <row r="28" spans="2:10" ht="15">
      <c r="B28" s="29" t="s">
        <v>359</v>
      </c>
      <c r="C28" s="16"/>
      <c r="D28" s="16"/>
      <c r="E28" s="16"/>
      <c r="F28" s="16"/>
      <c r="G28" s="16"/>
      <c r="H28" s="16"/>
      <c r="I28" s="16"/>
    </row>
    <row r="29" spans="2:10" ht="15">
      <c r="B29" s="29" t="s">
        <v>360</v>
      </c>
      <c r="C29" s="2"/>
      <c r="D29" s="2"/>
      <c r="E29" s="2"/>
      <c r="F29" s="2"/>
      <c r="G29" s="2"/>
      <c r="H29" s="2"/>
      <c r="I29" s="2"/>
    </row>
    <row r="30" spans="2:10" ht="15">
      <c r="B30" s="30" t="s">
        <v>361</v>
      </c>
      <c r="C30" s="3">
        <f>SUM(C27:C29)</f>
        <v>0</v>
      </c>
      <c r="D30" s="3">
        <f t="shared" ref="D30:I30" si="2">SUM(D27:D29)</f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  <c r="H30" s="3">
        <f t="shared" si="2"/>
        <v>0</v>
      </c>
      <c r="I30" s="3">
        <f t="shared" si="2"/>
        <v>0</v>
      </c>
      <c r="J30" s="4"/>
    </row>
    <row r="31" spans="2:10" ht="6" customHeight="1">
      <c r="B31" s="15"/>
      <c r="C31" s="16"/>
      <c r="D31" s="16"/>
      <c r="E31" s="16"/>
      <c r="F31" s="16"/>
      <c r="G31" s="16"/>
      <c r="H31" s="16"/>
      <c r="I31" s="16"/>
    </row>
    <row r="32" spans="2:10" ht="15">
      <c r="B32" s="29" t="s">
        <v>364</v>
      </c>
      <c r="C32" s="2">
        <v>0.79800000000000004</v>
      </c>
      <c r="D32" s="2">
        <v>10.95</v>
      </c>
      <c r="E32" s="2">
        <v>14.613733</v>
      </c>
      <c r="F32" s="2">
        <v>2.7639999999999998</v>
      </c>
      <c r="G32" s="2">
        <v>29.577000000000002</v>
      </c>
      <c r="H32" s="2">
        <v>113.05500000000001</v>
      </c>
      <c r="I32" s="2">
        <v>294.00099999999998</v>
      </c>
    </row>
    <row r="33" spans="2:10" ht="15">
      <c r="B33" s="31" t="s">
        <v>296</v>
      </c>
      <c r="C33" s="3">
        <f t="shared" ref="C33:I33" si="3">SUM(C21:C25,C32:C32,C30)</f>
        <v>0.79800000000000004</v>
      </c>
      <c r="D33" s="3">
        <f t="shared" si="3"/>
        <v>11.059999999999999</v>
      </c>
      <c r="E33" s="3">
        <f t="shared" si="3"/>
        <v>14.723732999999999</v>
      </c>
      <c r="F33" s="3">
        <f t="shared" si="3"/>
        <v>2.7639999999999998</v>
      </c>
      <c r="G33" s="3">
        <f t="shared" si="3"/>
        <v>29.577000000000002</v>
      </c>
      <c r="H33" s="3">
        <f t="shared" si="3"/>
        <v>113.05500000000001</v>
      </c>
      <c r="I33" s="3">
        <f t="shared" si="3"/>
        <v>294.00099999999998</v>
      </c>
      <c r="J33" s="4"/>
    </row>
    <row r="34" spans="2:10" ht="15">
      <c r="B34" s="29" t="s">
        <v>365</v>
      </c>
      <c r="C34" s="19"/>
      <c r="D34" s="19"/>
      <c r="E34" s="19"/>
      <c r="F34" s="19"/>
      <c r="G34" s="19"/>
      <c r="H34" s="19"/>
      <c r="I34" s="19"/>
    </row>
    <row r="35" spans="2:10" ht="15">
      <c r="B35" s="17" t="s">
        <v>366</v>
      </c>
      <c r="C35" s="3">
        <f t="shared" ref="C35:I35" si="4">C19+C33+C34</f>
        <v>0.79800000000000004</v>
      </c>
      <c r="D35" s="3">
        <f t="shared" si="4"/>
        <v>11.059999999999999</v>
      </c>
      <c r="E35" s="3">
        <f t="shared" si="4"/>
        <v>14.723732999999999</v>
      </c>
      <c r="F35" s="3">
        <f t="shared" si="4"/>
        <v>2.7639999999999998</v>
      </c>
      <c r="G35" s="3">
        <f t="shared" si="4"/>
        <v>29.577000000000002</v>
      </c>
      <c r="H35" s="3">
        <f t="shared" si="4"/>
        <v>113.05500000000001</v>
      </c>
      <c r="I35" s="3">
        <f t="shared" si="4"/>
        <v>294.00099999999998</v>
      </c>
      <c r="J35" s="4"/>
    </row>
    <row r="36" spans="2:10" ht="15.75" thickBot="1">
      <c r="B36" s="17" t="s">
        <v>367</v>
      </c>
      <c r="C36" s="6">
        <f>C35</f>
        <v>0.79800000000000004</v>
      </c>
      <c r="D36" s="6">
        <f t="shared" ref="D36:I36" si="5">D35</f>
        <v>11.059999999999999</v>
      </c>
      <c r="E36" s="6">
        <f t="shared" si="5"/>
        <v>14.723732999999999</v>
      </c>
      <c r="F36" s="6">
        <f t="shared" si="5"/>
        <v>2.7639999999999998</v>
      </c>
      <c r="G36" s="6">
        <f t="shared" si="5"/>
        <v>29.577000000000002</v>
      </c>
      <c r="H36" s="6">
        <f t="shared" si="5"/>
        <v>113.05500000000001</v>
      </c>
      <c r="I36" s="6">
        <f t="shared" si="5"/>
        <v>294.00099999999998</v>
      </c>
      <c r="J36" s="4"/>
    </row>
    <row r="37" spans="2:10" ht="6" customHeight="1" thickTop="1">
      <c r="B37" s="15"/>
      <c r="C37" s="16"/>
      <c r="D37" s="16"/>
      <c r="E37" s="16"/>
      <c r="F37" s="16"/>
      <c r="G37" s="16"/>
      <c r="H37" s="16"/>
      <c r="I37" s="16"/>
    </row>
    <row r="38" spans="2:10" ht="15">
      <c r="B38" s="29" t="s">
        <v>310</v>
      </c>
      <c r="C38" s="16"/>
      <c r="D38" s="16"/>
      <c r="E38" s="16"/>
      <c r="F38" s="16"/>
      <c r="G38" s="16"/>
      <c r="H38" s="16"/>
      <c r="I38" s="16"/>
    </row>
    <row r="39" spans="2:10" ht="15">
      <c r="B39" s="29" t="s">
        <v>368</v>
      </c>
      <c r="C39" s="16"/>
      <c r="D39" s="16"/>
      <c r="E39" s="16"/>
      <c r="F39" s="16"/>
      <c r="G39" s="16"/>
      <c r="H39" s="16"/>
      <c r="I39" s="16"/>
    </row>
    <row r="40" spans="2:10" ht="15">
      <c r="B40" s="29" t="s">
        <v>369</v>
      </c>
      <c r="C40" s="2"/>
      <c r="D40" s="2"/>
      <c r="E40" s="2"/>
      <c r="F40" s="2"/>
      <c r="G40" s="2"/>
      <c r="H40" s="2"/>
      <c r="I40" s="2"/>
    </row>
    <row r="41" spans="2:10" ht="15">
      <c r="B41" s="30" t="s">
        <v>370</v>
      </c>
      <c r="C41" s="3">
        <f t="shared" ref="C41:I41" si="6">SUM(C38:C40)</f>
        <v>0</v>
      </c>
      <c r="D41" s="3">
        <f t="shared" si="6"/>
        <v>0</v>
      </c>
      <c r="E41" s="3">
        <f t="shared" si="6"/>
        <v>0</v>
      </c>
      <c r="F41" s="3">
        <f t="shared" si="6"/>
        <v>0</v>
      </c>
      <c r="G41" s="3">
        <f t="shared" si="6"/>
        <v>0</v>
      </c>
      <c r="H41" s="3">
        <f t="shared" si="6"/>
        <v>0</v>
      </c>
      <c r="I41" s="3">
        <f t="shared" si="6"/>
        <v>0</v>
      </c>
      <c r="J41" s="4"/>
    </row>
    <row r="42" spans="2:10" ht="15">
      <c r="B42" s="29" t="s">
        <v>371</v>
      </c>
      <c r="C42" s="16">
        <v>0.41899999999999998</v>
      </c>
      <c r="D42" s="16">
        <v>0.96699999999999997</v>
      </c>
      <c r="E42" s="16"/>
      <c r="F42" s="16"/>
      <c r="G42" s="16"/>
      <c r="H42" s="16"/>
      <c r="I42" s="16"/>
    </row>
    <row r="43" spans="2:10" ht="15">
      <c r="B43" s="29" t="s">
        <v>372</v>
      </c>
      <c r="C43" s="16"/>
      <c r="D43" s="16"/>
      <c r="E43" s="16"/>
      <c r="F43" s="16"/>
      <c r="G43" s="16">
        <v>20.05</v>
      </c>
      <c r="H43" s="16">
        <v>8.8780000000000001</v>
      </c>
      <c r="I43" s="16"/>
    </row>
    <row r="44" spans="2:10" ht="15">
      <c r="B44" s="29" t="s">
        <v>373</v>
      </c>
      <c r="C44" s="2"/>
      <c r="D44" s="2"/>
      <c r="E44" s="2"/>
      <c r="F44" s="2"/>
      <c r="G44" s="2"/>
      <c r="H44" s="2"/>
      <c r="I44" s="2"/>
    </row>
    <row r="45" spans="2:10" ht="15">
      <c r="B45" s="31" t="s">
        <v>374</v>
      </c>
      <c r="C45" s="3">
        <f t="shared" ref="C45:I45" si="7">SUM(C43:C44)</f>
        <v>0</v>
      </c>
      <c r="D45" s="3">
        <f t="shared" si="7"/>
        <v>0</v>
      </c>
      <c r="E45" s="3">
        <f t="shared" si="7"/>
        <v>0</v>
      </c>
      <c r="F45" s="3">
        <f t="shared" si="7"/>
        <v>0</v>
      </c>
      <c r="G45" s="3">
        <f t="shared" si="7"/>
        <v>20.05</v>
      </c>
      <c r="H45" s="3">
        <f t="shared" si="7"/>
        <v>8.8780000000000001</v>
      </c>
      <c r="I45" s="3">
        <f t="shared" si="7"/>
        <v>0</v>
      </c>
      <c r="J45" s="4"/>
    </row>
    <row r="46" spans="2:10" ht="15">
      <c r="B46" s="29" t="s">
        <v>375</v>
      </c>
      <c r="C46" s="16"/>
      <c r="D46" s="16"/>
      <c r="E46" s="16"/>
      <c r="F46" s="16"/>
      <c r="G46" s="16"/>
      <c r="H46" s="16"/>
      <c r="I46" s="16"/>
    </row>
    <row r="47" spans="2:10" ht="15.75" thickBot="1">
      <c r="B47" s="17" t="s">
        <v>376</v>
      </c>
      <c r="C47" s="21">
        <f t="shared" ref="C47:I47" si="8">SUM(C41,C42:C42,C46,C45)</f>
        <v>0.41899999999999998</v>
      </c>
      <c r="D47" s="21">
        <f t="shared" si="8"/>
        <v>0.96699999999999997</v>
      </c>
      <c r="E47" s="21">
        <f t="shared" si="8"/>
        <v>0</v>
      </c>
      <c r="F47" s="21">
        <f t="shared" si="8"/>
        <v>0</v>
      </c>
      <c r="G47" s="21">
        <f t="shared" si="8"/>
        <v>20.05</v>
      </c>
      <c r="H47" s="21">
        <f t="shared" si="8"/>
        <v>8.8780000000000001</v>
      </c>
      <c r="I47" s="21">
        <f t="shared" si="8"/>
        <v>0</v>
      </c>
      <c r="J47" s="4"/>
    </row>
    <row r="48" spans="2:10" ht="6" customHeight="1" thickTop="1">
      <c r="B48" s="15"/>
      <c r="C48" s="16"/>
      <c r="D48" s="16"/>
      <c r="E48" s="16"/>
      <c r="F48" s="16"/>
      <c r="G48" s="16"/>
      <c r="H48" s="16"/>
      <c r="I48" s="16"/>
    </row>
    <row r="49" spans="2:10" ht="15">
      <c r="B49" s="29" t="s">
        <v>377</v>
      </c>
      <c r="C49" s="16"/>
      <c r="D49" s="16"/>
      <c r="E49" s="16"/>
      <c r="F49" s="16"/>
      <c r="G49" s="16"/>
      <c r="H49" s="16"/>
      <c r="I49" s="16"/>
    </row>
    <row r="50" spans="2:10" ht="15">
      <c r="B50" s="29" t="s">
        <v>378</v>
      </c>
      <c r="C50" s="16"/>
      <c r="D50" s="16"/>
      <c r="E50" s="16"/>
      <c r="F50" s="16"/>
      <c r="G50" s="16"/>
      <c r="H50" s="16"/>
      <c r="I50" s="16"/>
    </row>
    <row r="51" spans="2:10" ht="15">
      <c r="B51" s="29" t="s">
        <v>379</v>
      </c>
      <c r="C51" s="16"/>
      <c r="D51" s="16"/>
      <c r="E51" s="16"/>
      <c r="F51" s="16"/>
      <c r="G51" s="16"/>
      <c r="H51" s="16"/>
      <c r="I51" s="16"/>
    </row>
    <row r="52" spans="2:10" ht="15">
      <c r="B52" s="29" t="s">
        <v>380</v>
      </c>
      <c r="C52" s="16"/>
      <c r="D52" s="16"/>
      <c r="E52" s="16"/>
      <c r="F52" s="16"/>
      <c r="G52" s="16"/>
      <c r="H52" s="16"/>
      <c r="I52" s="16"/>
    </row>
    <row r="53" spans="2:10" ht="15">
      <c r="B53" s="29" t="s">
        <v>381</v>
      </c>
      <c r="C53" s="16"/>
      <c r="D53" s="16"/>
      <c r="E53" s="16"/>
      <c r="F53" s="16"/>
      <c r="G53" s="16"/>
      <c r="H53" s="16"/>
      <c r="I53" s="16"/>
    </row>
    <row r="54" spans="2:10" ht="15">
      <c r="B54" s="29" t="s">
        <v>382</v>
      </c>
      <c r="C54" s="16"/>
      <c r="D54" s="16"/>
      <c r="E54" s="16"/>
      <c r="F54" s="16"/>
      <c r="G54" s="16"/>
      <c r="H54" s="16"/>
      <c r="I54" s="16"/>
    </row>
    <row r="55" spans="2:10" ht="15">
      <c r="B55" s="29" t="s">
        <v>383</v>
      </c>
      <c r="C55" s="16"/>
      <c r="D55" s="16"/>
      <c r="E55" s="16"/>
      <c r="F55" s="16"/>
      <c r="G55" s="16"/>
      <c r="H55" s="16"/>
      <c r="I55" s="16"/>
    </row>
    <row r="56" spans="2:10" ht="15">
      <c r="B56" s="29" t="s">
        <v>384</v>
      </c>
      <c r="C56" s="2"/>
      <c r="D56" s="2"/>
      <c r="E56" s="2"/>
      <c r="F56" s="2"/>
      <c r="G56" s="2"/>
      <c r="H56" s="2"/>
      <c r="I56" s="2"/>
    </row>
    <row r="57" spans="2:10" ht="15">
      <c r="B57" s="17" t="s">
        <v>385</v>
      </c>
      <c r="C57" s="3">
        <f>SUM(C49:C56)</f>
        <v>0</v>
      </c>
      <c r="D57" s="3">
        <f t="shared" ref="D57:I57" si="9">SUM(D49:D56)</f>
        <v>0</v>
      </c>
      <c r="E57" s="3">
        <f t="shared" si="9"/>
        <v>0</v>
      </c>
      <c r="F57" s="3">
        <f t="shared" si="9"/>
        <v>0</v>
      </c>
      <c r="G57" s="3">
        <f t="shared" si="9"/>
        <v>0</v>
      </c>
      <c r="H57" s="3">
        <f t="shared" si="9"/>
        <v>0</v>
      </c>
      <c r="I57" s="3">
        <f t="shared" si="9"/>
        <v>0</v>
      </c>
      <c r="J57" s="4"/>
    </row>
    <row r="58" spans="2:10" ht="6" customHeight="1">
      <c r="B58" s="15"/>
      <c r="C58" s="19"/>
      <c r="D58" s="19"/>
      <c r="E58" s="19"/>
      <c r="F58" s="19"/>
      <c r="G58" s="19"/>
      <c r="H58" s="19"/>
      <c r="I58" s="19"/>
    </row>
    <row r="59" spans="2:10" ht="15">
      <c r="B59" s="29" t="s">
        <v>386</v>
      </c>
      <c r="C59" s="16">
        <v>1.17</v>
      </c>
      <c r="D59" s="16">
        <v>1.0860000000000001</v>
      </c>
      <c r="E59" s="16">
        <v>0.61003200000000002</v>
      </c>
      <c r="F59" s="16">
        <v>1.8049999999999999</v>
      </c>
      <c r="G59" s="16">
        <v>0.184</v>
      </c>
      <c r="H59" s="16">
        <v>0.55500000000000005</v>
      </c>
      <c r="I59" s="16">
        <v>2.1949999999999998</v>
      </c>
    </row>
    <row r="60" spans="2:10" ht="15">
      <c r="B60" s="29" t="s">
        <v>387</v>
      </c>
      <c r="C60" s="16">
        <v>0.58299999999999996</v>
      </c>
      <c r="D60" s="16">
        <v>73.117000000000004</v>
      </c>
      <c r="E60" s="16">
        <v>15.603128999999999</v>
      </c>
      <c r="F60" s="16">
        <v>46.277999999999999</v>
      </c>
      <c r="G60" s="16">
        <v>165.75399999999999</v>
      </c>
      <c r="H60" s="16">
        <v>10.013</v>
      </c>
      <c r="I60" s="16">
        <v>137.453</v>
      </c>
    </row>
    <row r="61" spans="2:10" ht="15">
      <c r="B61" s="29" t="s">
        <v>388</v>
      </c>
      <c r="C61" s="16"/>
      <c r="D61" s="16"/>
      <c r="E61" s="16"/>
      <c r="F61" s="16">
        <v>67.228999999999999</v>
      </c>
      <c r="G61" s="16">
        <v>59.753</v>
      </c>
      <c r="H61" s="16">
        <v>549.33600000000001</v>
      </c>
      <c r="I61" s="16">
        <v>366.34399999999999</v>
      </c>
    </row>
    <row r="62" spans="2:10" ht="15">
      <c r="B62" s="30" t="s">
        <v>389</v>
      </c>
      <c r="C62" s="3">
        <f t="shared" ref="C62:I62" si="10">SUM(C60:C61)</f>
        <v>0.58299999999999996</v>
      </c>
      <c r="D62" s="3">
        <f t="shared" si="10"/>
        <v>73.117000000000004</v>
      </c>
      <c r="E62" s="3">
        <f t="shared" si="10"/>
        <v>15.603128999999999</v>
      </c>
      <c r="F62" s="3">
        <f t="shared" si="10"/>
        <v>113.50700000000001</v>
      </c>
      <c r="G62" s="3">
        <f t="shared" si="10"/>
        <v>225.50700000000001</v>
      </c>
      <c r="H62" s="3">
        <f t="shared" si="10"/>
        <v>559.34900000000005</v>
      </c>
      <c r="I62" s="3">
        <f t="shared" si="10"/>
        <v>503.79700000000003</v>
      </c>
      <c r="J62" s="4"/>
    </row>
    <row r="63" spans="2:10" ht="15">
      <c r="B63" s="29" t="s">
        <v>390</v>
      </c>
      <c r="C63" s="19"/>
      <c r="D63" s="19"/>
      <c r="E63" s="19"/>
      <c r="F63" s="19"/>
      <c r="G63" s="19"/>
      <c r="H63" s="19"/>
      <c r="I63" s="19"/>
    </row>
    <row r="64" spans="2:10" ht="15">
      <c r="B64" s="34" t="s">
        <v>391</v>
      </c>
      <c r="C64" s="20">
        <f>C62+C63</f>
        <v>0.58299999999999996</v>
      </c>
      <c r="D64" s="20">
        <f t="shared" ref="D64:I64" si="11">D62+D63</f>
        <v>73.117000000000004</v>
      </c>
      <c r="E64" s="20">
        <f t="shared" si="11"/>
        <v>15.603128999999999</v>
      </c>
      <c r="F64" s="20">
        <f t="shared" si="11"/>
        <v>113.50700000000001</v>
      </c>
      <c r="G64" s="20">
        <f t="shared" si="11"/>
        <v>225.50700000000001</v>
      </c>
      <c r="H64" s="20">
        <f t="shared" si="11"/>
        <v>559.34900000000005</v>
      </c>
      <c r="I64" s="20">
        <f t="shared" si="11"/>
        <v>503.79700000000003</v>
      </c>
      <c r="J64" s="4"/>
    </row>
    <row r="65" spans="2:10" ht="6" customHeight="1">
      <c r="B65" s="15"/>
      <c r="C65" s="16"/>
      <c r="D65" s="16"/>
      <c r="E65" s="16"/>
      <c r="F65" s="16"/>
      <c r="G65" s="16"/>
      <c r="H65" s="16"/>
      <c r="I65" s="16"/>
    </row>
    <row r="66" spans="2:10" ht="15">
      <c r="B66" s="29" t="s">
        <v>392</v>
      </c>
      <c r="C66" s="16"/>
      <c r="D66" s="16"/>
      <c r="E66" s="16"/>
      <c r="F66" s="16"/>
      <c r="G66" s="16"/>
      <c r="H66" s="16"/>
      <c r="I66" s="16"/>
    </row>
    <row r="67" spans="2:10" ht="15">
      <c r="B67" s="29" t="s">
        <v>393</v>
      </c>
      <c r="C67" s="16"/>
      <c r="D67" s="16"/>
      <c r="E67" s="16"/>
      <c r="F67" s="16"/>
      <c r="G67" s="16"/>
      <c r="H67" s="16"/>
      <c r="I67" s="16"/>
    </row>
    <row r="68" spans="2:10" ht="15">
      <c r="B68" s="29" t="s">
        <v>394</v>
      </c>
      <c r="C68" s="2"/>
      <c r="D68" s="2"/>
      <c r="E68" s="2"/>
      <c r="F68" s="2"/>
      <c r="G68" s="2"/>
      <c r="H68" s="2"/>
      <c r="I68" s="2"/>
    </row>
    <row r="69" spans="2:10" ht="15">
      <c r="B69" s="17" t="s">
        <v>395</v>
      </c>
      <c r="C69" s="3">
        <f t="shared" ref="C69:I69" si="12">SUM(C59,C66:C68,C64)</f>
        <v>1.7529999999999999</v>
      </c>
      <c r="D69" s="3">
        <f t="shared" si="12"/>
        <v>74.203000000000003</v>
      </c>
      <c r="E69" s="3">
        <f t="shared" si="12"/>
        <v>16.213160999999999</v>
      </c>
      <c r="F69" s="3">
        <f t="shared" si="12"/>
        <v>115.31200000000001</v>
      </c>
      <c r="G69" s="3">
        <f t="shared" si="12"/>
        <v>225.691</v>
      </c>
      <c r="H69" s="3">
        <f t="shared" si="12"/>
        <v>559.904</v>
      </c>
      <c r="I69" s="3">
        <f t="shared" si="12"/>
        <v>505.99200000000002</v>
      </c>
      <c r="J69" s="4"/>
    </row>
    <row r="70" spans="2:10" ht="6" customHeight="1">
      <c r="B70" s="15"/>
      <c r="C70" s="16"/>
      <c r="D70" s="16"/>
      <c r="E70" s="16"/>
      <c r="F70" s="16"/>
      <c r="G70" s="16"/>
      <c r="H70" s="16"/>
      <c r="I70" s="16"/>
    </row>
    <row r="71" spans="2:10" ht="15">
      <c r="B71" s="29" t="s">
        <v>396</v>
      </c>
      <c r="C71" s="16"/>
      <c r="D71" s="16"/>
      <c r="E71" s="16"/>
      <c r="F71" s="16"/>
      <c r="G71" s="16"/>
      <c r="H71" s="16"/>
      <c r="I71" s="16"/>
    </row>
    <row r="72" spans="2:10" ht="15">
      <c r="B72" s="29" t="s">
        <v>397</v>
      </c>
      <c r="C72" s="16"/>
      <c r="D72" s="16"/>
      <c r="E72" s="16"/>
      <c r="F72" s="16"/>
      <c r="G72" s="16"/>
      <c r="H72" s="16"/>
      <c r="I72" s="16"/>
    </row>
    <row r="73" spans="2:10" ht="15">
      <c r="B73" s="29" t="s">
        <v>398</v>
      </c>
      <c r="C73" s="16"/>
      <c r="D73" s="16"/>
      <c r="E73" s="16"/>
      <c r="F73" s="16"/>
      <c r="G73" s="16"/>
      <c r="H73" s="16"/>
      <c r="I73" s="16"/>
    </row>
    <row r="74" spans="2:10" ht="15">
      <c r="B74" s="29" t="s">
        <v>399</v>
      </c>
      <c r="C74" s="16"/>
      <c r="D74" s="16"/>
      <c r="E74" s="16"/>
      <c r="F74" s="16"/>
      <c r="G74" s="16"/>
      <c r="H74" s="16"/>
      <c r="I74" s="16"/>
    </row>
    <row r="75" spans="2:10" ht="15">
      <c r="B75" s="29" t="s">
        <v>400</v>
      </c>
      <c r="C75" s="16"/>
      <c r="D75" s="16"/>
      <c r="E75" s="16"/>
      <c r="F75" s="16"/>
      <c r="G75" s="16"/>
      <c r="H75" s="16"/>
      <c r="I75" s="16"/>
    </row>
    <row r="76" spans="2:10" ht="15">
      <c r="B76" s="29" t="s">
        <v>401</v>
      </c>
      <c r="C76" s="16"/>
      <c r="D76" s="16"/>
      <c r="E76" s="16"/>
      <c r="F76" s="16"/>
      <c r="G76" s="16"/>
      <c r="H76" s="16"/>
      <c r="I76" s="16"/>
    </row>
    <row r="77" spans="2:10" ht="15">
      <c r="B77" s="29" t="s">
        <v>402</v>
      </c>
      <c r="C77" s="16"/>
      <c r="D77" s="16"/>
      <c r="E77" s="16"/>
      <c r="F77" s="16"/>
      <c r="G77" s="16"/>
      <c r="H77" s="16"/>
      <c r="I77" s="16"/>
    </row>
    <row r="78" spans="2:10" ht="15">
      <c r="B78" s="29" t="s">
        <v>403</v>
      </c>
      <c r="C78" s="16"/>
      <c r="D78" s="16"/>
      <c r="E78" s="16"/>
      <c r="F78" s="16"/>
      <c r="G78" s="16"/>
      <c r="H78" s="16"/>
      <c r="I78" s="16"/>
    </row>
    <row r="79" spans="2:10" ht="15">
      <c r="B79" s="29" t="s">
        <v>404</v>
      </c>
      <c r="C79" s="16"/>
      <c r="D79" s="16"/>
      <c r="E79" s="16"/>
      <c r="F79" s="16"/>
      <c r="G79" s="16"/>
      <c r="H79" s="16"/>
      <c r="I79" s="16"/>
    </row>
    <row r="80" spans="2:10" ht="15">
      <c r="B80" s="29" t="s">
        <v>188</v>
      </c>
      <c r="C80" s="2"/>
      <c r="D80" s="2"/>
      <c r="E80" s="2"/>
      <c r="F80" s="2"/>
      <c r="G80" s="2"/>
      <c r="H80" s="2"/>
      <c r="I80" s="2"/>
    </row>
    <row r="81" spans="2:10" ht="15">
      <c r="B81" s="17" t="s">
        <v>405</v>
      </c>
      <c r="C81" s="3">
        <f>SUM(C71:C80)</f>
        <v>0</v>
      </c>
      <c r="D81" s="3">
        <f t="shared" ref="D81:I81" si="13">SUM(D71:D80)</f>
        <v>0</v>
      </c>
      <c r="E81" s="3">
        <f t="shared" si="13"/>
        <v>0</v>
      </c>
      <c r="F81" s="3">
        <f t="shared" si="13"/>
        <v>0</v>
      </c>
      <c r="G81" s="3">
        <f t="shared" si="13"/>
        <v>0</v>
      </c>
      <c r="H81" s="3">
        <f t="shared" si="13"/>
        <v>0</v>
      </c>
      <c r="I81" s="3">
        <f t="shared" si="13"/>
        <v>0</v>
      </c>
      <c r="J81" s="4"/>
    </row>
    <row r="82" spans="2:10" ht="6" customHeight="1">
      <c r="B82" s="15"/>
      <c r="C82" s="16"/>
      <c r="D82" s="16"/>
      <c r="E82" s="16"/>
      <c r="F82" s="16"/>
      <c r="G82" s="16"/>
      <c r="H82" s="16"/>
      <c r="I82" s="16"/>
    </row>
    <row r="83" spans="2:10" ht="6" customHeight="1">
      <c r="C83" s="25"/>
      <c r="D83" s="25"/>
      <c r="E83" s="25"/>
      <c r="F83" s="25"/>
      <c r="G83" s="25"/>
      <c r="H83" s="25"/>
      <c r="I83" s="25"/>
    </row>
    <row r="84" spans="2:10" ht="15">
      <c r="B84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CD2F-A71C-48FB-ADC6-E8235F72CC98}">
  <sheetPr>
    <pageSetUpPr fitToPage="1"/>
  </sheetPr>
  <dimension ref="B1:J50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/>
  <cols>
    <col min="1" max="1" width="2.625" customWidth="1"/>
    <col min="2" max="2" width="36.375" bestFit="1" customWidth="1"/>
    <col min="3" max="9" width="9.625" customWidth="1"/>
  </cols>
  <sheetData>
    <row r="1" spans="2:10" ht="15">
      <c r="B1" s="12" t="str">
        <f>+Cover!B3</f>
        <v>Knowledge Marine &amp; Engineering Works Ltd.</v>
      </c>
    </row>
    <row r="3" spans="2:10" ht="15">
      <c r="B3" s="13" t="s">
        <v>357</v>
      </c>
      <c r="C3" s="14"/>
      <c r="D3" s="14"/>
      <c r="E3" s="14"/>
      <c r="F3" s="14"/>
      <c r="G3" s="14"/>
      <c r="H3" s="14"/>
      <c r="I3" s="14"/>
    </row>
    <row r="4" spans="2:10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4"/>
    </row>
    <row r="5" spans="2:10" ht="15">
      <c r="B5" s="8"/>
      <c r="C5" s="10" t="s">
        <v>9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2:10" ht="15">
      <c r="B6" s="29" t="s">
        <v>339</v>
      </c>
      <c r="C6" s="16">
        <v>8.9999999999999993E-3</v>
      </c>
      <c r="D6" s="16">
        <v>8.9999999999999993E-3</v>
      </c>
      <c r="E6" s="16">
        <v>0.09</v>
      </c>
      <c r="F6" s="16">
        <v>8.9999999999999993E-3</v>
      </c>
      <c r="G6" s="16">
        <v>8.9999999999999993E-3</v>
      </c>
      <c r="H6" s="16">
        <v>8.9999999999999993E-3</v>
      </c>
      <c r="I6" s="16">
        <v>8.9999999999999993E-3</v>
      </c>
    </row>
    <row r="7" spans="2:10" ht="15">
      <c r="B7" s="29" t="s">
        <v>340</v>
      </c>
      <c r="C7" s="16">
        <v>6.26</v>
      </c>
      <c r="D7" s="16">
        <v>4.8499999999999996</v>
      </c>
      <c r="E7" s="16">
        <v>295.08199999999999</v>
      </c>
      <c r="F7" s="16">
        <v>0.434</v>
      </c>
      <c r="G7" s="16">
        <v>0.64100000000000001</v>
      </c>
      <c r="H7" s="16">
        <v>0.83899999999999997</v>
      </c>
      <c r="I7" s="16">
        <v>0.83899999999999997</v>
      </c>
    </row>
    <row r="8" spans="2:10" ht="15">
      <c r="B8" s="29" t="s">
        <v>341</v>
      </c>
      <c r="C8" s="16">
        <v>0.94199999999999995</v>
      </c>
      <c r="D8" s="16">
        <v>0.96299999999999997</v>
      </c>
      <c r="E8" s="16">
        <v>0.97199999999999998</v>
      </c>
      <c r="F8" s="16">
        <v>2.133</v>
      </c>
      <c r="G8" s="16">
        <v>3.0270000000000001</v>
      </c>
      <c r="H8" s="16">
        <v>6.444</v>
      </c>
      <c r="I8" s="16">
        <v>6.64</v>
      </c>
    </row>
    <row r="9" spans="2:10" ht="15">
      <c r="B9" s="29" t="s">
        <v>342</v>
      </c>
      <c r="C9" s="16"/>
      <c r="D9" s="16"/>
      <c r="E9" s="16"/>
      <c r="F9" s="16"/>
      <c r="G9" s="16">
        <v>2.137</v>
      </c>
      <c r="H9" s="16">
        <v>2.137</v>
      </c>
      <c r="I9" s="16">
        <v>2.137</v>
      </c>
    </row>
    <row r="10" spans="2:10" ht="15">
      <c r="B10" s="29" t="s">
        <v>343</v>
      </c>
      <c r="C10" s="16">
        <v>109.13800000000001</v>
      </c>
      <c r="D10" s="16">
        <v>129.52699999999999</v>
      </c>
      <c r="E10" s="16"/>
      <c r="F10" s="16">
        <v>317.86200000000002</v>
      </c>
      <c r="G10" s="16">
        <v>587.16999999999996</v>
      </c>
      <c r="H10" s="16">
        <v>687.97699999999998</v>
      </c>
      <c r="I10" s="16">
        <v>1225.5239999999999</v>
      </c>
    </row>
    <row r="11" spans="2:10" ht="15">
      <c r="B11" s="29" t="s">
        <v>344</v>
      </c>
      <c r="C11" s="16"/>
      <c r="D11" s="16"/>
      <c r="E11" s="16"/>
      <c r="F11" s="16">
        <v>3.5999999999999997E-2</v>
      </c>
      <c r="G11" s="16">
        <v>3.5999999999999997E-2</v>
      </c>
      <c r="H11" s="16">
        <v>3.5999999999999997E-2</v>
      </c>
      <c r="I11" s="16">
        <v>5.6000000000000001E-2</v>
      </c>
    </row>
    <row r="12" spans="2:10" ht="15">
      <c r="B12" s="29" t="s">
        <v>345</v>
      </c>
      <c r="C12" s="16"/>
      <c r="D12" s="16">
        <v>0.28000000000000003</v>
      </c>
      <c r="E12" s="16"/>
      <c r="F12" s="16"/>
      <c r="G12" s="16"/>
      <c r="H12" s="16"/>
      <c r="I12" s="16"/>
    </row>
    <row r="13" spans="2:10" ht="15">
      <c r="B13" s="29" t="s">
        <v>346</v>
      </c>
      <c r="C13" s="16">
        <v>0.33100000000000002</v>
      </c>
      <c r="D13" s="16">
        <v>0.58199999999999996</v>
      </c>
      <c r="E13" s="16">
        <v>1.226</v>
      </c>
      <c r="F13" s="16">
        <v>1.8420000000000001</v>
      </c>
      <c r="G13" s="16">
        <v>2.2970000000000002</v>
      </c>
      <c r="H13" s="16">
        <v>4.008</v>
      </c>
      <c r="I13" s="16">
        <v>5.5359999999999996</v>
      </c>
    </row>
    <row r="14" spans="2:10" ht="15">
      <c r="B14" s="29" t="s">
        <v>347</v>
      </c>
      <c r="C14" s="16"/>
      <c r="D14" s="16"/>
      <c r="E14" s="16"/>
      <c r="F14" s="16"/>
      <c r="G14" s="16"/>
      <c r="H14" s="16"/>
      <c r="I14" s="16"/>
    </row>
    <row r="15" spans="2:10" ht="15">
      <c r="B15" s="29" t="s">
        <v>348</v>
      </c>
      <c r="C15" s="2"/>
      <c r="D15" s="2"/>
      <c r="E15" s="2">
        <v>-7.8690999999999997E-2</v>
      </c>
      <c r="F15" s="2">
        <v>0.29199999999999998</v>
      </c>
      <c r="G15" s="2">
        <v>-8.0000000000000002E-3</v>
      </c>
      <c r="H15" s="2"/>
      <c r="I15" s="2"/>
    </row>
    <row r="16" spans="2:10" ht="15">
      <c r="B16" s="17" t="s">
        <v>349</v>
      </c>
      <c r="C16" s="3">
        <f t="shared" ref="C16:I16" si="0">SUM(C6:C15)</f>
        <v>116.68</v>
      </c>
      <c r="D16" s="3">
        <f t="shared" si="0"/>
        <v>136.21099999999998</v>
      </c>
      <c r="E16" s="3">
        <f t="shared" si="0"/>
        <v>297.29130899999996</v>
      </c>
      <c r="F16" s="3">
        <f t="shared" si="0"/>
        <v>322.608</v>
      </c>
      <c r="G16" s="3">
        <f t="shared" si="0"/>
        <v>595.30899999999986</v>
      </c>
      <c r="H16" s="3">
        <f t="shared" si="0"/>
        <v>701.44999999999993</v>
      </c>
      <c r="I16" s="3">
        <f t="shared" si="0"/>
        <v>1240.741</v>
      </c>
      <c r="J16" s="4"/>
    </row>
    <row r="17" spans="2:10" ht="6" customHeight="1">
      <c r="B17" s="15"/>
      <c r="C17" s="16"/>
      <c r="D17" s="16"/>
      <c r="E17" s="16"/>
      <c r="F17" s="16"/>
      <c r="G17" s="16"/>
      <c r="H17" s="16"/>
      <c r="I17" s="16"/>
    </row>
    <row r="18" spans="2:10" ht="15">
      <c r="B18" s="29" t="s">
        <v>339</v>
      </c>
      <c r="C18" s="16"/>
      <c r="D18" s="16"/>
      <c r="E18" s="16"/>
      <c r="F18" s="16"/>
      <c r="G18" s="16"/>
      <c r="H18" s="16"/>
      <c r="I18" s="16"/>
    </row>
    <row r="19" spans="2:10" ht="15">
      <c r="B19" s="29" t="s">
        <v>350</v>
      </c>
      <c r="C19" s="16">
        <v>-1.46</v>
      </c>
      <c r="D19" s="16">
        <v>-4.5679999999999996</v>
      </c>
      <c r="E19" s="16">
        <v>-23.753</v>
      </c>
      <c r="F19" s="16">
        <v>-0.111</v>
      </c>
      <c r="G19" s="16">
        <v>-8.6999999999999994E-2</v>
      </c>
      <c r="H19" s="16">
        <v>-0.222</v>
      </c>
      <c r="I19" s="16">
        <v>-0.33900000000000002</v>
      </c>
    </row>
    <row r="20" spans="2:10" ht="15">
      <c r="B20" s="29" t="s">
        <v>341</v>
      </c>
      <c r="C20" s="16">
        <v>-9.8000000000000004E-2</v>
      </c>
      <c r="D20" s="16">
        <v>-0.215</v>
      </c>
      <c r="E20" s="16">
        <v>-0.33400000000000002</v>
      </c>
      <c r="F20" s="16">
        <v>-0.19400000000000001</v>
      </c>
      <c r="G20" s="16">
        <v>-0.85799999999999998</v>
      </c>
      <c r="H20" s="16">
        <v>-1.2270000000000001</v>
      </c>
      <c r="I20" s="16">
        <v>-1.905</v>
      </c>
    </row>
    <row r="21" spans="2:10" ht="15">
      <c r="B21" s="29" t="s">
        <v>342</v>
      </c>
      <c r="C21" s="16"/>
      <c r="D21" s="16"/>
      <c r="E21" s="16"/>
      <c r="F21" s="16"/>
      <c r="G21" s="16">
        <v>-0.11700000000000001</v>
      </c>
      <c r="H21" s="16">
        <v>-0.371</v>
      </c>
      <c r="I21" s="16">
        <v>-0.625</v>
      </c>
    </row>
    <row r="22" spans="2:10" ht="15">
      <c r="B22" s="29" t="s">
        <v>343</v>
      </c>
      <c r="C22" s="16">
        <v>-1.4670000000000001</v>
      </c>
      <c r="D22" s="16">
        <v>-8.9309999999999992</v>
      </c>
      <c r="E22" s="16"/>
      <c r="F22" s="16">
        <v>-43.834000000000003</v>
      </c>
      <c r="G22" s="16">
        <v>-67.176000000000002</v>
      </c>
      <c r="H22" s="16">
        <v>-109.235</v>
      </c>
      <c r="I22" s="16">
        <v>-167.93299999999999</v>
      </c>
    </row>
    <row r="23" spans="2:10" ht="15">
      <c r="B23" s="29" t="s">
        <v>344</v>
      </c>
      <c r="C23" s="16"/>
      <c r="D23" s="16"/>
      <c r="E23" s="16"/>
      <c r="F23" s="16">
        <v>-2E-3</v>
      </c>
      <c r="G23" s="16"/>
      <c r="H23" s="16">
        <v>-1.6E-2</v>
      </c>
      <c r="I23" s="16">
        <v>-2.3E-2</v>
      </c>
    </row>
    <row r="24" spans="2:10" ht="15">
      <c r="B24" s="29" t="s">
        <v>345</v>
      </c>
      <c r="C24" s="16"/>
      <c r="D24" s="16">
        <v>-0.28000000000000003</v>
      </c>
      <c r="E24" s="16"/>
      <c r="F24" s="16"/>
      <c r="G24" s="16"/>
      <c r="H24" s="16"/>
      <c r="I24" s="16"/>
    </row>
    <row r="25" spans="2:10" ht="15">
      <c r="B25" s="29" t="s">
        <v>346</v>
      </c>
      <c r="C25" s="16">
        <v>-8.7999999999999995E-2</v>
      </c>
      <c r="D25" s="16">
        <v>-0.25800000000000001</v>
      </c>
      <c r="E25" s="16">
        <v>-0.48399999999999999</v>
      </c>
      <c r="F25" s="16">
        <v>-0.85699999999999998</v>
      </c>
      <c r="G25" s="16">
        <v>-1.3120000000000001</v>
      </c>
      <c r="H25" s="16">
        <v>-2.0739999999999998</v>
      </c>
      <c r="I25" s="16">
        <v>-3.073</v>
      </c>
    </row>
    <row r="26" spans="2:10" ht="15">
      <c r="B26" s="29" t="s">
        <v>347</v>
      </c>
      <c r="C26" s="16"/>
      <c r="D26" s="16"/>
      <c r="E26" s="16"/>
      <c r="F26" s="16"/>
      <c r="G26" s="16"/>
      <c r="H26" s="16"/>
      <c r="I26" s="16"/>
    </row>
    <row r="27" spans="2:10" ht="15">
      <c r="B27" s="29" t="s">
        <v>348</v>
      </c>
      <c r="C27" s="2"/>
      <c r="D27" s="2"/>
      <c r="E27" s="2"/>
      <c r="F27" s="2"/>
      <c r="G27" s="2"/>
      <c r="H27" s="2"/>
      <c r="I27" s="2"/>
    </row>
    <row r="28" spans="2:10" ht="15">
      <c r="B28" s="17" t="s">
        <v>351</v>
      </c>
      <c r="C28" s="3">
        <f t="shared" ref="C28:I28" si="1">SUM(C18:C27)</f>
        <v>-3.1130000000000004</v>
      </c>
      <c r="D28" s="3">
        <f t="shared" si="1"/>
        <v>-14.251999999999999</v>
      </c>
      <c r="E28" s="3">
        <f t="shared" si="1"/>
        <v>-24.570999999999998</v>
      </c>
      <c r="F28" s="3">
        <f t="shared" si="1"/>
        <v>-44.998000000000005</v>
      </c>
      <c r="G28" s="3">
        <f t="shared" si="1"/>
        <v>-69.55</v>
      </c>
      <c r="H28" s="3">
        <f t="shared" si="1"/>
        <v>-113.145</v>
      </c>
      <c r="I28" s="3">
        <f t="shared" si="1"/>
        <v>-173.898</v>
      </c>
      <c r="J28" s="4"/>
    </row>
    <row r="29" spans="2:10" ht="6" customHeight="1">
      <c r="B29" s="15"/>
      <c r="C29" s="16"/>
      <c r="D29" s="16"/>
      <c r="E29" s="16"/>
      <c r="F29" s="16"/>
      <c r="G29" s="16"/>
      <c r="H29" s="16"/>
      <c r="I29" s="16"/>
    </row>
    <row r="30" spans="2:10" ht="15">
      <c r="B30" s="32" t="s">
        <v>352</v>
      </c>
      <c r="C30" s="33"/>
      <c r="D30" s="33"/>
      <c r="E30" s="33"/>
      <c r="F30" s="33"/>
      <c r="G30" s="33"/>
      <c r="H30" s="33"/>
      <c r="I30" s="33"/>
      <c r="J30" s="4"/>
    </row>
    <row r="31" spans="2:10" ht="6" customHeight="1">
      <c r="B31" s="15"/>
      <c r="C31" s="16"/>
      <c r="D31" s="16"/>
      <c r="E31" s="16"/>
      <c r="F31" s="16"/>
      <c r="G31" s="16"/>
      <c r="H31" s="16"/>
      <c r="I31" s="16"/>
    </row>
    <row r="32" spans="2:10" ht="15">
      <c r="B32" s="29" t="s">
        <v>339</v>
      </c>
      <c r="C32" s="16">
        <v>8.9999999999999993E-3</v>
      </c>
      <c r="D32" s="16">
        <v>8.9999999999999993E-3</v>
      </c>
      <c r="E32" s="16">
        <v>0.09</v>
      </c>
      <c r="F32" s="16">
        <v>8.9999999999999993E-3</v>
      </c>
      <c r="G32" s="16">
        <v>8.9999999999999993E-3</v>
      </c>
      <c r="H32" s="16">
        <v>8.9999999999999993E-3</v>
      </c>
      <c r="I32" s="16">
        <v>8.9999999999999993E-3</v>
      </c>
    </row>
    <row r="33" spans="2:10" ht="15">
      <c r="B33" s="29" t="s">
        <v>350</v>
      </c>
      <c r="C33" s="16">
        <v>4.8</v>
      </c>
      <c r="D33" s="16">
        <v>0.28199999999999997</v>
      </c>
      <c r="E33" s="16">
        <v>271.32900000000001</v>
      </c>
      <c r="F33" s="16">
        <v>0.32300000000000001</v>
      </c>
      <c r="G33" s="16">
        <v>0.55400000000000005</v>
      </c>
      <c r="H33" s="16">
        <v>0.61699999999999999</v>
      </c>
      <c r="I33" s="16">
        <v>0.5</v>
      </c>
    </row>
    <row r="34" spans="2:10" ht="15">
      <c r="B34" s="29" t="s">
        <v>341</v>
      </c>
      <c r="C34" s="16">
        <v>0.84399999999999997</v>
      </c>
      <c r="D34" s="16">
        <v>0.748</v>
      </c>
      <c r="E34" s="16">
        <v>0.63800000000000001</v>
      </c>
      <c r="F34" s="16">
        <v>1.9390000000000001</v>
      </c>
      <c r="G34" s="16">
        <v>2.169</v>
      </c>
      <c r="H34" s="16">
        <v>5.2169999999999996</v>
      </c>
      <c r="I34" s="16">
        <v>4.7350000000000003</v>
      </c>
    </row>
    <row r="35" spans="2:10" ht="15">
      <c r="B35" s="29" t="s">
        <v>342</v>
      </c>
      <c r="C35" s="16"/>
      <c r="D35" s="16"/>
      <c r="E35" s="16">
        <v>0</v>
      </c>
      <c r="F35" s="16">
        <v>0</v>
      </c>
      <c r="G35" s="16">
        <v>2.02</v>
      </c>
      <c r="H35" s="16">
        <v>1.766</v>
      </c>
      <c r="I35" s="16">
        <v>1.512</v>
      </c>
    </row>
    <row r="36" spans="2:10" ht="15">
      <c r="B36" s="29" t="s">
        <v>343</v>
      </c>
      <c r="C36" s="16">
        <v>107.67100000000001</v>
      </c>
      <c r="D36" s="16">
        <v>120.596</v>
      </c>
      <c r="E36" s="16">
        <v>0</v>
      </c>
      <c r="F36" s="16">
        <v>274.02800000000002</v>
      </c>
      <c r="G36" s="16">
        <v>519.99400000000003</v>
      </c>
      <c r="H36" s="16">
        <v>578.74199999999996</v>
      </c>
      <c r="I36" s="16">
        <v>1057.5909999999999</v>
      </c>
    </row>
    <row r="37" spans="2:10" ht="15">
      <c r="B37" s="29" t="s">
        <v>344</v>
      </c>
      <c r="C37" s="16"/>
      <c r="D37" s="16"/>
      <c r="E37" s="16">
        <v>0</v>
      </c>
      <c r="F37" s="16">
        <v>3.4000000000000002E-2</v>
      </c>
      <c r="G37" s="16">
        <v>3.5999999999999997E-2</v>
      </c>
      <c r="H37" s="16">
        <v>0.02</v>
      </c>
      <c r="I37" s="16">
        <v>3.3000000000000002E-2</v>
      </c>
    </row>
    <row r="38" spans="2:10" ht="15">
      <c r="B38" s="29" t="s">
        <v>345</v>
      </c>
      <c r="C38" s="16"/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/>
    </row>
    <row r="39" spans="2:10" ht="15">
      <c r="B39" s="29" t="s">
        <v>346</v>
      </c>
      <c r="C39" s="16">
        <v>0.24299999999999999</v>
      </c>
      <c r="D39" s="16">
        <v>0.32400000000000001</v>
      </c>
      <c r="E39" s="16">
        <v>0.74199999999999999</v>
      </c>
      <c r="F39" s="16">
        <v>0.98499999999999999</v>
      </c>
      <c r="G39" s="16">
        <v>0.98499999999999999</v>
      </c>
      <c r="H39" s="16">
        <v>1.9339999999999999</v>
      </c>
      <c r="I39" s="16">
        <v>2.4630000000000001</v>
      </c>
    </row>
    <row r="40" spans="2:10" ht="15">
      <c r="B40" s="29" t="s">
        <v>347</v>
      </c>
      <c r="C40" s="16"/>
      <c r="D40" s="16"/>
      <c r="E40" s="16">
        <v>0</v>
      </c>
      <c r="F40" s="16">
        <v>0</v>
      </c>
      <c r="G40" s="16">
        <v>0</v>
      </c>
      <c r="H40" s="16">
        <v>0</v>
      </c>
      <c r="I40" s="16"/>
    </row>
    <row r="41" spans="2:10" ht="15">
      <c r="B41" s="29" t="s">
        <v>348</v>
      </c>
      <c r="C41" s="2"/>
      <c r="D41" s="2"/>
      <c r="E41" s="2">
        <v>-7.8690999999999997E-2</v>
      </c>
      <c r="F41" s="2">
        <v>0.29199999999999998</v>
      </c>
      <c r="G41" s="2">
        <v>-8.0000000000000002E-3</v>
      </c>
      <c r="H41" s="2">
        <v>0</v>
      </c>
      <c r="I41" s="2"/>
    </row>
    <row r="42" spans="2:10" ht="15.75" thickBot="1">
      <c r="B42" s="17" t="s">
        <v>353</v>
      </c>
      <c r="C42" s="6">
        <f>SUM(C32:C41)</f>
        <v>113.56700000000001</v>
      </c>
      <c r="D42" s="6">
        <f t="shared" ref="D42:I42" si="2">SUM(D32:D41)</f>
        <v>121.959</v>
      </c>
      <c r="E42" s="6">
        <f t="shared" si="2"/>
        <v>272.72030899999999</v>
      </c>
      <c r="F42" s="6">
        <f t="shared" si="2"/>
        <v>277.61</v>
      </c>
      <c r="G42" s="6">
        <f t="shared" si="2"/>
        <v>525.7589999999999</v>
      </c>
      <c r="H42" s="6">
        <f t="shared" si="2"/>
        <v>588.30499999999995</v>
      </c>
      <c r="I42" s="6">
        <f t="shared" si="2"/>
        <v>1066.8429999999998</v>
      </c>
      <c r="J42" s="4"/>
    </row>
    <row r="43" spans="2:10" ht="6" customHeight="1" thickTop="1">
      <c r="B43" s="15"/>
      <c r="C43" s="16"/>
      <c r="D43" s="16"/>
      <c r="E43" s="16"/>
      <c r="F43" s="16"/>
      <c r="G43" s="16"/>
      <c r="H43" s="16"/>
      <c r="I43" s="16"/>
    </row>
    <row r="44" spans="2:10" ht="15">
      <c r="B44" s="15" t="s">
        <v>354</v>
      </c>
      <c r="C44" s="16"/>
      <c r="D44" s="16"/>
      <c r="E44" s="16"/>
      <c r="F44" s="16"/>
      <c r="G44" s="16"/>
      <c r="H44" s="16"/>
      <c r="I44" s="16"/>
    </row>
    <row r="45" spans="2:10" ht="15">
      <c r="B45" s="15" t="s">
        <v>355</v>
      </c>
      <c r="C45" s="16"/>
      <c r="D45" s="16">
        <v>75.286000000000001</v>
      </c>
      <c r="E45" s="16"/>
      <c r="F45" s="16">
        <v>28.536000000000001</v>
      </c>
      <c r="G45" s="16">
        <v>18.079999999999998</v>
      </c>
      <c r="H45" s="16">
        <v>80.984999999999999</v>
      </c>
      <c r="I45" s="16">
        <v>120.383</v>
      </c>
    </row>
    <row r="46" spans="2:10" ht="15">
      <c r="B46" s="15" t="s">
        <v>337</v>
      </c>
      <c r="C46" s="16"/>
      <c r="D46" s="16"/>
      <c r="E46" s="16"/>
      <c r="F46" s="16"/>
      <c r="G46" s="16"/>
      <c r="H46" s="16"/>
      <c r="I46" s="16"/>
    </row>
    <row r="47" spans="2:10" ht="15">
      <c r="B47" s="15" t="s">
        <v>356</v>
      </c>
      <c r="C47" s="16"/>
      <c r="D47" s="16"/>
      <c r="E47" s="16"/>
      <c r="F47" s="16"/>
      <c r="G47" s="16"/>
      <c r="H47" s="16"/>
      <c r="I47" s="16"/>
    </row>
    <row r="48" spans="2:10" ht="15">
      <c r="B48" s="15" t="s">
        <v>338</v>
      </c>
      <c r="C48" s="16"/>
      <c r="D48" s="16"/>
      <c r="E48" s="16"/>
      <c r="F48" s="16"/>
      <c r="G48" s="16"/>
      <c r="H48" s="16"/>
      <c r="I48" s="16"/>
    </row>
    <row r="49" spans="2:9" ht="6" customHeight="1">
      <c r="C49" s="25"/>
      <c r="D49" s="25"/>
      <c r="E49" s="25"/>
      <c r="F49" s="25"/>
      <c r="G49" s="25"/>
      <c r="H49" s="25"/>
      <c r="I49" s="25"/>
    </row>
    <row r="50" spans="2:9" ht="15">
      <c r="B50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08DF-1690-4107-84D3-F07BBC5BD1EB}">
  <sheetPr>
    <pageSetUpPr fitToPage="1"/>
  </sheetPr>
  <dimension ref="B1:J101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/>
  <cols>
    <col min="1" max="1" width="2.625" customWidth="1"/>
    <col min="2" max="2" width="47.75" bestFit="1" customWidth="1"/>
    <col min="3" max="9" width="9.625" customWidth="1"/>
  </cols>
  <sheetData>
    <row r="1" spans="2:10" ht="15">
      <c r="B1" s="12" t="str">
        <f>+Cover!B3</f>
        <v>Knowledge Marine &amp; Engineering Works Ltd.</v>
      </c>
    </row>
    <row r="3" spans="2:10" ht="15">
      <c r="B3" s="13" t="s">
        <v>336</v>
      </c>
      <c r="C3" s="14"/>
      <c r="D3" s="14"/>
      <c r="E3" s="14"/>
      <c r="F3" s="14"/>
      <c r="G3" s="14"/>
      <c r="H3" s="14"/>
      <c r="I3" s="14"/>
    </row>
    <row r="4" spans="2:10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4"/>
    </row>
    <row r="5" spans="2:10" ht="15">
      <c r="B5" s="8"/>
      <c r="C5" s="10" t="s">
        <v>9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2:10" ht="6" customHeight="1">
      <c r="B6" s="15"/>
      <c r="C6" s="16"/>
      <c r="D6" s="16"/>
      <c r="E6" s="16"/>
      <c r="F6" s="16"/>
      <c r="G6" s="16"/>
      <c r="H6" s="16"/>
      <c r="I6" s="16"/>
    </row>
    <row r="7" spans="2:10" ht="15">
      <c r="B7" s="27" t="s">
        <v>266</v>
      </c>
      <c r="C7" s="28"/>
      <c r="D7" s="28"/>
      <c r="E7" s="28"/>
      <c r="F7" s="28"/>
      <c r="G7" s="28"/>
      <c r="H7" s="28"/>
      <c r="I7" s="28"/>
    </row>
    <row r="8" spans="2:10" ht="15">
      <c r="B8" s="29" t="s">
        <v>267</v>
      </c>
      <c r="C8" s="16"/>
      <c r="D8" s="16"/>
      <c r="E8" s="16"/>
      <c r="F8" s="16"/>
      <c r="G8" s="16"/>
      <c r="H8" s="16"/>
      <c r="I8" s="16"/>
    </row>
    <row r="9" spans="2:10" ht="15">
      <c r="B9" s="29" t="s">
        <v>268</v>
      </c>
      <c r="C9" s="16">
        <v>8.2029999999999994</v>
      </c>
      <c r="D9" s="16">
        <v>71.465999999999994</v>
      </c>
      <c r="E9" s="16">
        <v>25.932756999999999</v>
      </c>
      <c r="F9" s="16">
        <v>4.9779999999999998</v>
      </c>
      <c r="G9" s="16">
        <v>61.682000000000002</v>
      </c>
      <c r="H9" s="16">
        <v>261.048</v>
      </c>
      <c r="I9" s="16">
        <v>121.705</v>
      </c>
    </row>
    <row r="10" spans="2:10" ht="15">
      <c r="B10" s="29" t="s">
        <v>269</v>
      </c>
      <c r="C10" s="2"/>
      <c r="D10" s="2"/>
      <c r="E10" s="2"/>
      <c r="F10" s="2"/>
      <c r="G10" s="2"/>
      <c r="H10" s="2"/>
      <c r="I10" s="2"/>
    </row>
    <row r="11" spans="2:10" ht="15">
      <c r="B11" s="30" t="s">
        <v>270</v>
      </c>
      <c r="C11" s="3">
        <f>SUM(C8:C10)</f>
        <v>8.2029999999999994</v>
      </c>
      <c r="D11" s="3">
        <f t="shared" ref="D11:I11" si="0">SUM(D8:D10)</f>
        <v>71.465999999999994</v>
      </c>
      <c r="E11" s="3">
        <f t="shared" si="0"/>
        <v>25.932756999999999</v>
      </c>
      <c r="F11" s="3">
        <f t="shared" si="0"/>
        <v>4.9779999999999998</v>
      </c>
      <c r="G11" s="3">
        <f t="shared" si="0"/>
        <v>61.682000000000002</v>
      </c>
      <c r="H11" s="3">
        <f t="shared" si="0"/>
        <v>261.048</v>
      </c>
      <c r="I11" s="3">
        <f t="shared" si="0"/>
        <v>121.705</v>
      </c>
      <c r="J11" s="4"/>
    </row>
    <row r="12" spans="2:10" ht="6" customHeight="1">
      <c r="B12" s="15"/>
      <c r="C12" s="16"/>
      <c r="D12" s="16"/>
      <c r="E12" s="16"/>
      <c r="F12" s="16"/>
      <c r="G12" s="16"/>
      <c r="H12" s="16"/>
      <c r="I12" s="16"/>
    </row>
    <row r="13" spans="2:10" ht="15">
      <c r="B13" s="29" t="s">
        <v>271</v>
      </c>
      <c r="C13" s="16"/>
      <c r="D13" s="16"/>
      <c r="E13" s="16"/>
      <c r="F13" s="16"/>
      <c r="G13" s="16"/>
      <c r="H13" s="16"/>
      <c r="I13" s="16"/>
    </row>
    <row r="14" spans="2:10" ht="15">
      <c r="B14" s="29" t="s">
        <v>272</v>
      </c>
      <c r="C14" s="2"/>
      <c r="D14" s="2"/>
      <c r="E14" s="2"/>
      <c r="F14" s="2"/>
      <c r="G14" s="2"/>
      <c r="H14" s="2"/>
      <c r="I14" s="2"/>
    </row>
    <row r="15" spans="2:10" ht="15">
      <c r="B15" s="17" t="s">
        <v>273</v>
      </c>
      <c r="C15" s="3">
        <f>SUM(C11,C13:C14)</f>
        <v>8.2029999999999994</v>
      </c>
      <c r="D15" s="3">
        <f t="shared" ref="D15:I15" si="1">SUM(D11,D13:D14)</f>
        <v>71.465999999999994</v>
      </c>
      <c r="E15" s="3">
        <f t="shared" si="1"/>
        <v>25.932756999999999</v>
      </c>
      <c r="F15" s="3">
        <f t="shared" si="1"/>
        <v>4.9779999999999998</v>
      </c>
      <c r="G15" s="3">
        <f t="shared" si="1"/>
        <v>61.682000000000002</v>
      </c>
      <c r="H15" s="3">
        <f t="shared" si="1"/>
        <v>261.048</v>
      </c>
      <c r="I15" s="3">
        <f t="shared" si="1"/>
        <v>121.705</v>
      </c>
      <c r="J15" s="4"/>
    </row>
    <row r="16" spans="2:10" ht="6" customHeight="1">
      <c r="B16" s="15"/>
      <c r="C16" s="16"/>
      <c r="D16" s="16"/>
      <c r="E16" s="16"/>
      <c r="F16" s="16"/>
      <c r="G16" s="16"/>
      <c r="H16" s="16"/>
      <c r="I16" s="16"/>
    </row>
    <row r="17" spans="2:10" ht="15">
      <c r="B17" s="29" t="s">
        <v>274</v>
      </c>
      <c r="C17" s="16"/>
      <c r="D17" s="16"/>
      <c r="E17" s="16">
        <v>7.5590029999999997</v>
      </c>
      <c r="F17" s="16"/>
      <c r="G17" s="16"/>
      <c r="H17" s="16">
        <v>10.478</v>
      </c>
      <c r="I17" s="16">
        <v>10.478</v>
      </c>
    </row>
    <row r="18" spans="2:10" ht="15">
      <c r="B18" s="29" t="s">
        <v>275</v>
      </c>
      <c r="C18" s="16"/>
      <c r="D18" s="16"/>
      <c r="E18" s="16"/>
      <c r="F18" s="16"/>
      <c r="G18" s="16"/>
      <c r="H18" s="16"/>
      <c r="I18" s="16"/>
    </row>
    <row r="19" spans="2:10" ht="15">
      <c r="B19" s="29" t="s">
        <v>276</v>
      </c>
      <c r="C19" s="2"/>
      <c r="D19" s="2"/>
      <c r="E19" s="2">
        <v>13.562719</v>
      </c>
      <c r="F19" s="2">
        <v>2.448</v>
      </c>
      <c r="G19" s="2">
        <v>13.904</v>
      </c>
      <c r="H19" s="2">
        <v>10.646000000000001</v>
      </c>
      <c r="I19" s="2">
        <v>2.5950000000000002</v>
      </c>
    </row>
    <row r="20" spans="2:10" ht="15">
      <c r="B20" s="17" t="s">
        <v>277</v>
      </c>
      <c r="C20" s="3">
        <f t="shared" ref="C20:I20" si="2">SUM(C17:C19)</f>
        <v>0</v>
      </c>
      <c r="D20" s="3">
        <f t="shared" si="2"/>
        <v>0</v>
      </c>
      <c r="E20" s="3">
        <f t="shared" si="2"/>
        <v>21.121721999999998</v>
      </c>
      <c r="F20" s="3">
        <f t="shared" si="2"/>
        <v>2.448</v>
      </c>
      <c r="G20" s="3">
        <f t="shared" si="2"/>
        <v>13.904</v>
      </c>
      <c r="H20" s="3">
        <f t="shared" si="2"/>
        <v>21.124000000000002</v>
      </c>
      <c r="I20" s="3">
        <f t="shared" si="2"/>
        <v>13.073</v>
      </c>
      <c r="J20" s="4"/>
    </row>
    <row r="21" spans="2:10" ht="6" customHeight="1">
      <c r="B21" s="15"/>
      <c r="C21" s="16"/>
      <c r="D21" s="16"/>
      <c r="E21" s="16"/>
      <c r="F21" s="16"/>
      <c r="G21" s="16"/>
      <c r="H21" s="16"/>
      <c r="I21" s="16"/>
    </row>
    <row r="22" spans="2:10" ht="15">
      <c r="B22" s="29" t="s">
        <v>219</v>
      </c>
      <c r="C22" s="16">
        <v>7.3879999999999999</v>
      </c>
      <c r="D22" s="16">
        <v>8.923</v>
      </c>
      <c r="E22" s="16">
        <v>9.6717560000000002</v>
      </c>
      <c r="F22" s="16">
        <v>18.059000000000001</v>
      </c>
      <c r="G22" s="16">
        <v>62.371000000000002</v>
      </c>
      <c r="H22" s="16">
        <v>148.708</v>
      </c>
      <c r="I22" s="16">
        <v>88.119</v>
      </c>
    </row>
    <row r="23" spans="2:10" ht="15">
      <c r="B23" s="29" t="s">
        <v>278</v>
      </c>
      <c r="C23" s="16"/>
      <c r="D23" s="16"/>
      <c r="E23" s="16"/>
      <c r="F23" s="16"/>
      <c r="G23" s="16"/>
      <c r="H23" s="16"/>
      <c r="I23" s="16"/>
    </row>
    <row r="24" spans="2:10" ht="15">
      <c r="B24" s="29" t="s">
        <v>279</v>
      </c>
      <c r="C24" s="2">
        <v>3.9180000000000001</v>
      </c>
      <c r="D24" s="2">
        <v>1.6759999999999999</v>
      </c>
      <c r="E24" s="2">
        <v>3.8673150000000001</v>
      </c>
      <c r="F24" s="2">
        <v>4.3630000000000004</v>
      </c>
      <c r="G24" s="2">
        <v>5.5069999999999997</v>
      </c>
      <c r="H24" s="2">
        <v>5.1639999999999997</v>
      </c>
      <c r="I24" s="2">
        <v>6.1970000000000001</v>
      </c>
    </row>
    <row r="25" spans="2:10" ht="15">
      <c r="B25" s="17" t="s">
        <v>280</v>
      </c>
      <c r="C25" s="3">
        <f t="shared" ref="C25:I25" si="3">SUM(C22:C24)</f>
        <v>11.306000000000001</v>
      </c>
      <c r="D25" s="3">
        <f t="shared" si="3"/>
        <v>10.599</v>
      </c>
      <c r="E25" s="3">
        <f t="shared" si="3"/>
        <v>13.539071</v>
      </c>
      <c r="F25" s="3">
        <f t="shared" si="3"/>
        <v>22.422000000000001</v>
      </c>
      <c r="G25" s="3">
        <f t="shared" si="3"/>
        <v>67.878</v>
      </c>
      <c r="H25" s="3">
        <f t="shared" si="3"/>
        <v>153.87199999999999</v>
      </c>
      <c r="I25" s="3">
        <f t="shared" si="3"/>
        <v>94.316000000000003</v>
      </c>
      <c r="J25" s="4"/>
    </row>
    <row r="26" spans="2:10" ht="6" customHeight="1">
      <c r="B26" s="15"/>
      <c r="C26" s="16"/>
      <c r="D26" s="16"/>
      <c r="E26" s="16"/>
      <c r="F26" s="16"/>
      <c r="G26" s="16"/>
      <c r="H26" s="16"/>
      <c r="I26" s="16"/>
    </row>
    <row r="27" spans="2:10" ht="15">
      <c r="B27" s="27" t="s">
        <v>281</v>
      </c>
      <c r="C27" s="28"/>
      <c r="D27" s="28"/>
      <c r="E27" s="28"/>
      <c r="F27" s="28"/>
      <c r="G27" s="28"/>
      <c r="H27" s="28"/>
      <c r="I27" s="28"/>
    </row>
    <row r="28" spans="2:10" ht="15">
      <c r="B28" s="17" t="s">
        <v>282</v>
      </c>
      <c r="C28" s="5">
        <f t="shared" ref="C28:I28" si="4">SUM(C36,C41,C40)</f>
        <v>0</v>
      </c>
      <c r="D28" s="5">
        <f t="shared" si="4"/>
        <v>0</v>
      </c>
      <c r="E28" s="5">
        <f t="shared" si="4"/>
        <v>0</v>
      </c>
      <c r="F28" s="5">
        <f t="shared" si="4"/>
        <v>0.58699999999999997</v>
      </c>
      <c r="G28" s="5">
        <f t="shared" si="4"/>
        <v>0</v>
      </c>
      <c r="H28" s="5">
        <f t="shared" si="4"/>
        <v>0</v>
      </c>
      <c r="I28" s="5">
        <f t="shared" si="4"/>
        <v>0</v>
      </c>
      <c r="J28" s="4"/>
    </row>
    <row r="29" spans="2:10" ht="15">
      <c r="B29" s="29" t="s">
        <v>283</v>
      </c>
      <c r="C29" s="16"/>
      <c r="D29" s="16"/>
      <c r="E29" s="16"/>
      <c r="F29" s="16"/>
      <c r="G29" s="16"/>
      <c r="H29" s="16"/>
      <c r="I29" s="16"/>
    </row>
    <row r="30" spans="2:10" ht="15">
      <c r="B30" s="29" t="s">
        <v>284</v>
      </c>
      <c r="C30" s="16"/>
      <c r="D30" s="16"/>
      <c r="E30" s="16"/>
      <c r="F30" s="16"/>
      <c r="G30" s="16"/>
      <c r="H30" s="16"/>
      <c r="I30" s="16"/>
    </row>
    <row r="31" spans="2:10" ht="15">
      <c r="B31" s="29" t="s">
        <v>285</v>
      </c>
      <c r="C31" s="16"/>
      <c r="D31" s="16"/>
      <c r="E31" s="16"/>
      <c r="F31" s="16"/>
      <c r="G31" s="16"/>
      <c r="H31" s="16"/>
      <c r="I31" s="16"/>
    </row>
    <row r="32" spans="2:10" ht="15">
      <c r="B32" s="29" t="s">
        <v>286</v>
      </c>
      <c r="C32" s="16"/>
      <c r="D32" s="16"/>
      <c r="E32" s="16"/>
      <c r="F32" s="16"/>
      <c r="G32" s="16"/>
      <c r="H32" s="16"/>
      <c r="I32" s="16"/>
    </row>
    <row r="33" spans="2:10" ht="15">
      <c r="B33" s="29" t="s">
        <v>287</v>
      </c>
      <c r="C33" s="16"/>
      <c r="D33" s="16"/>
      <c r="E33" s="16"/>
      <c r="F33" s="16"/>
      <c r="G33" s="16"/>
      <c r="H33" s="16"/>
      <c r="I33" s="16"/>
    </row>
    <row r="34" spans="2:10" ht="15">
      <c r="B34" s="29" t="s">
        <v>288</v>
      </c>
      <c r="C34" s="16"/>
      <c r="D34" s="16"/>
      <c r="E34" s="16"/>
      <c r="F34" s="16"/>
      <c r="G34" s="16"/>
      <c r="H34" s="16"/>
      <c r="I34" s="16"/>
    </row>
    <row r="35" spans="2:10" ht="15">
      <c r="B35" s="29" t="s">
        <v>289</v>
      </c>
      <c r="C35" s="2"/>
      <c r="D35" s="2"/>
      <c r="E35" s="2"/>
      <c r="F35" s="2"/>
      <c r="G35" s="2"/>
      <c r="H35" s="2"/>
      <c r="I35" s="2"/>
    </row>
    <row r="36" spans="2:10" ht="15">
      <c r="B36" s="31" t="s">
        <v>290</v>
      </c>
      <c r="C36" s="3">
        <f t="shared" ref="C36:I36" si="5">SUM(C29:C35)</f>
        <v>0</v>
      </c>
      <c r="D36" s="3">
        <f t="shared" si="5"/>
        <v>0</v>
      </c>
      <c r="E36" s="3">
        <f t="shared" si="5"/>
        <v>0</v>
      </c>
      <c r="F36" s="3">
        <f t="shared" si="5"/>
        <v>0</v>
      </c>
      <c r="G36" s="3">
        <f t="shared" si="5"/>
        <v>0</v>
      </c>
      <c r="H36" s="3">
        <f t="shared" si="5"/>
        <v>0</v>
      </c>
      <c r="I36" s="3">
        <f t="shared" si="5"/>
        <v>0</v>
      </c>
      <c r="J36" s="4"/>
    </row>
    <row r="37" spans="2:10" ht="6" customHeight="1">
      <c r="B37" s="15"/>
      <c r="C37" s="19"/>
      <c r="D37" s="19"/>
      <c r="E37" s="19"/>
      <c r="F37" s="19"/>
      <c r="G37" s="19"/>
      <c r="H37" s="19"/>
      <c r="I37" s="19"/>
    </row>
    <row r="38" spans="2:10" ht="15">
      <c r="B38" s="29" t="s">
        <v>285</v>
      </c>
      <c r="C38" s="16"/>
      <c r="D38" s="16"/>
      <c r="E38" s="16"/>
      <c r="F38" s="16">
        <v>0.105</v>
      </c>
      <c r="G38" s="16"/>
      <c r="H38" s="16"/>
      <c r="I38" s="16"/>
    </row>
    <row r="39" spans="2:10" ht="15">
      <c r="B39" s="29" t="s">
        <v>294</v>
      </c>
      <c r="C39" s="16"/>
      <c r="D39" s="16"/>
      <c r="E39" s="16"/>
      <c r="F39" s="16">
        <v>0.48199999999999998</v>
      </c>
      <c r="G39" s="16"/>
      <c r="H39" s="16"/>
      <c r="I39" s="16"/>
    </row>
    <row r="40" spans="2:10" ht="15">
      <c r="B40" s="29" t="s">
        <v>295</v>
      </c>
      <c r="C40" s="2"/>
      <c r="D40" s="2"/>
      <c r="E40" s="2"/>
      <c r="F40" s="2"/>
      <c r="G40" s="2"/>
      <c r="H40" s="2"/>
      <c r="I40" s="2"/>
    </row>
    <row r="41" spans="2:10" ht="15">
      <c r="B41" s="31" t="s">
        <v>296</v>
      </c>
      <c r="C41" s="3">
        <f t="shared" ref="C41:I41" si="6">SUM(C38:C39)</f>
        <v>0</v>
      </c>
      <c r="D41" s="3">
        <f t="shared" si="6"/>
        <v>0</v>
      </c>
      <c r="E41" s="3">
        <f t="shared" si="6"/>
        <v>0</v>
      </c>
      <c r="F41" s="3">
        <f t="shared" si="6"/>
        <v>0.58699999999999997</v>
      </c>
      <c r="G41" s="3">
        <f t="shared" si="6"/>
        <v>0</v>
      </c>
      <c r="H41" s="3">
        <f t="shared" si="6"/>
        <v>0</v>
      </c>
      <c r="I41" s="3">
        <f t="shared" si="6"/>
        <v>0</v>
      </c>
      <c r="J41" s="4"/>
    </row>
    <row r="42" spans="2:10" ht="6" customHeight="1">
      <c r="B42" s="15"/>
      <c r="C42" s="16"/>
      <c r="D42" s="16"/>
      <c r="E42" s="16"/>
      <c r="F42" s="16"/>
      <c r="G42" s="16"/>
      <c r="H42" s="16"/>
      <c r="I42" s="16"/>
    </row>
    <row r="43" spans="2:10" ht="15">
      <c r="B43" s="29" t="s">
        <v>297</v>
      </c>
      <c r="C43" s="16"/>
      <c r="D43" s="16"/>
      <c r="E43" s="16"/>
      <c r="F43" s="16">
        <v>0.58699999999999997</v>
      </c>
      <c r="G43" s="16"/>
      <c r="H43" s="16"/>
      <c r="I43" s="16"/>
    </row>
    <row r="44" spans="2:10" ht="6" customHeight="1">
      <c r="B44" s="15"/>
      <c r="C44" s="16"/>
      <c r="D44" s="16"/>
      <c r="E44" s="16"/>
      <c r="F44" s="16"/>
      <c r="G44" s="16"/>
      <c r="H44" s="16"/>
      <c r="I44" s="16"/>
    </row>
    <row r="45" spans="2:10" ht="15">
      <c r="B45" s="29" t="s">
        <v>298</v>
      </c>
      <c r="C45" s="16"/>
      <c r="D45" s="16"/>
      <c r="E45" s="16"/>
      <c r="F45" s="16"/>
      <c r="G45" s="16"/>
      <c r="H45" s="16"/>
      <c r="I45" s="16"/>
    </row>
    <row r="46" spans="2:10" ht="15">
      <c r="B46" s="29" t="s">
        <v>299</v>
      </c>
      <c r="C46" s="16"/>
      <c r="D46" s="16"/>
      <c r="E46" s="16"/>
      <c r="F46" s="16"/>
      <c r="G46" s="16"/>
      <c r="H46" s="16"/>
      <c r="I46" s="16"/>
    </row>
    <row r="47" spans="2:10" ht="15">
      <c r="B47" s="29" t="s">
        <v>300</v>
      </c>
      <c r="C47" s="16"/>
      <c r="D47" s="16"/>
      <c r="E47" s="16"/>
      <c r="F47" s="16"/>
      <c r="G47" s="16"/>
      <c r="H47" s="16"/>
      <c r="I47" s="16"/>
    </row>
    <row r="48" spans="2:10" ht="15">
      <c r="B48" s="29" t="s">
        <v>301</v>
      </c>
      <c r="C48" s="16"/>
      <c r="D48" s="16"/>
      <c r="E48" s="16"/>
      <c r="F48" s="16"/>
      <c r="G48" s="16"/>
      <c r="H48" s="16"/>
      <c r="I48" s="16"/>
    </row>
    <row r="49" spans="2:10" ht="15">
      <c r="B49" s="29" t="s">
        <v>302</v>
      </c>
      <c r="C49" s="16"/>
      <c r="D49" s="16"/>
      <c r="E49" s="16"/>
      <c r="F49" s="16"/>
      <c r="G49" s="16"/>
      <c r="H49" s="16"/>
      <c r="I49" s="16"/>
    </row>
    <row r="50" spans="2:10" ht="15">
      <c r="B50" s="29" t="s">
        <v>303</v>
      </c>
      <c r="C50" s="16"/>
      <c r="D50" s="16"/>
      <c r="E50" s="16"/>
      <c r="F50" s="16"/>
      <c r="G50" s="16"/>
      <c r="H50" s="16"/>
      <c r="I50" s="16"/>
    </row>
    <row r="51" spans="2:10" ht="15">
      <c r="B51" s="29" t="s">
        <v>304</v>
      </c>
      <c r="C51" s="16"/>
      <c r="D51" s="16"/>
      <c r="E51" s="16">
        <v>2.6951339999999999</v>
      </c>
      <c r="F51" s="16">
        <v>3.1970000000000001</v>
      </c>
      <c r="G51" s="16">
        <v>1.8879999999999999</v>
      </c>
      <c r="H51" s="16"/>
      <c r="I51" s="16"/>
    </row>
    <row r="52" spans="2:10" ht="15">
      <c r="B52" s="29" t="s">
        <v>305</v>
      </c>
      <c r="C52" s="16"/>
      <c r="D52" s="16"/>
      <c r="E52" s="16"/>
      <c r="F52" s="16"/>
      <c r="G52" s="16"/>
      <c r="H52" s="16"/>
      <c r="I52" s="16"/>
    </row>
    <row r="53" spans="2:10" ht="15">
      <c r="B53" s="29" t="s">
        <v>306</v>
      </c>
      <c r="C53" s="16"/>
      <c r="D53" s="16"/>
      <c r="E53" s="16"/>
      <c r="F53" s="16"/>
      <c r="G53" s="16"/>
      <c r="H53" s="16">
        <v>11.425000000000001</v>
      </c>
      <c r="I53" s="16">
        <v>12.164999999999999</v>
      </c>
    </row>
    <row r="54" spans="2:10" ht="15">
      <c r="B54" s="29" t="s">
        <v>307</v>
      </c>
      <c r="C54" s="16"/>
      <c r="D54" s="16"/>
      <c r="E54" s="16"/>
      <c r="F54" s="16"/>
      <c r="G54" s="16"/>
      <c r="H54" s="16"/>
      <c r="I54" s="16"/>
    </row>
    <row r="55" spans="2:10" ht="15">
      <c r="B55" s="29" t="s">
        <v>308</v>
      </c>
      <c r="C55" s="16"/>
      <c r="D55" s="16"/>
      <c r="E55" s="16"/>
      <c r="F55" s="16"/>
      <c r="G55" s="16"/>
      <c r="H55" s="16"/>
      <c r="I55" s="16"/>
    </row>
    <row r="56" spans="2:10" ht="15">
      <c r="B56" s="29" t="s">
        <v>309</v>
      </c>
      <c r="C56" s="2"/>
      <c r="D56" s="2"/>
      <c r="E56" s="2"/>
      <c r="F56" s="2">
        <v>0.10100000000000001</v>
      </c>
      <c r="G56" s="2"/>
      <c r="H56" s="2"/>
      <c r="I56" s="2"/>
    </row>
    <row r="57" spans="2:10" ht="15">
      <c r="B57" s="17" t="s">
        <v>16</v>
      </c>
      <c r="C57" s="3">
        <f t="shared" ref="C57:I57" si="7">SUM(C45:C56)</f>
        <v>0</v>
      </c>
      <c r="D57" s="3">
        <f t="shared" si="7"/>
        <v>0</v>
      </c>
      <c r="E57" s="3">
        <f t="shared" si="7"/>
        <v>2.6951339999999999</v>
      </c>
      <c r="F57" s="3">
        <f t="shared" si="7"/>
        <v>3.298</v>
      </c>
      <c r="G57" s="3">
        <f t="shared" si="7"/>
        <v>1.8879999999999999</v>
      </c>
      <c r="H57" s="3">
        <f t="shared" si="7"/>
        <v>11.425000000000001</v>
      </c>
      <c r="I57" s="3">
        <f t="shared" si="7"/>
        <v>12.164999999999999</v>
      </c>
      <c r="J57" s="4"/>
    </row>
    <row r="58" spans="2:10" ht="6" customHeight="1">
      <c r="B58" s="15"/>
      <c r="C58" s="16"/>
      <c r="D58" s="16"/>
      <c r="E58" s="16"/>
      <c r="F58" s="16"/>
      <c r="G58" s="16"/>
      <c r="H58" s="16"/>
      <c r="I58" s="16"/>
    </row>
    <row r="59" spans="2:10" ht="15">
      <c r="B59" s="29" t="s">
        <v>310</v>
      </c>
      <c r="C59" s="16">
        <v>0.122</v>
      </c>
      <c r="D59" s="16">
        <v>0.122</v>
      </c>
      <c r="E59" s="16"/>
      <c r="F59" s="16"/>
      <c r="G59" s="16"/>
      <c r="H59" s="16">
        <v>99.8</v>
      </c>
      <c r="I59" s="16">
        <v>198.58500000000001</v>
      </c>
    </row>
    <row r="60" spans="2:10" ht="15">
      <c r="B60" s="29" t="s">
        <v>311</v>
      </c>
      <c r="C60" s="2"/>
      <c r="D60" s="2"/>
      <c r="E60" s="2"/>
      <c r="F60" s="2"/>
      <c r="G60" s="2"/>
      <c r="H60" s="2"/>
      <c r="I60" s="2"/>
    </row>
    <row r="61" spans="2:10" ht="15">
      <c r="B61" s="30" t="s">
        <v>312</v>
      </c>
      <c r="C61" s="3">
        <f>SUM(C59:C60)</f>
        <v>0.122</v>
      </c>
      <c r="D61" s="3">
        <f t="shared" ref="D61:I61" si="8">SUM(D59:D60)</f>
        <v>0.122</v>
      </c>
      <c r="E61" s="3">
        <f t="shared" si="8"/>
        <v>0</v>
      </c>
      <c r="F61" s="3">
        <f t="shared" si="8"/>
        <v>0</v>
      </c>
      <c r="G61" s="3">
        <f t="shared" si="8"/>
        <v>0</v>
      </c>
      <c r="H61" s="3">
        <f t="shared" si="8"/>
        <v>99.8</v>
      </c>
      <c r="I61" s="3">
        <f t="shared" si="8"/>
        <v>198.58500000000001</v>
      </c>
      <c r="J61" s="4"/>
    </row>
    <row r="62" spans="2:10" ht="6" customHeight="1">
      <c r="B62" s="15"/>
      <c r="C62" s="16"/>
      <c r="D62" s="16"/>
      <c r="E62" s="16"/>
      <c r="F62" s="16"/>
      <c r="G62" s="16"/>
      <c r="H62" s="16"/>
      <c r="I62" s="16"/>
    </row>
    <row r="63" spans="2:10" ht="15">
      <c r="B63" s="29" t="s">
        <v>310</v>
      </c>
      <c r="C63" s="16">
        <v>16.384</v>
      </c>
      <c r="D63" s="16">
        <v>10.180999999999999</v>
      </c>
      <c r="E63" s="16">
        <v>30.294803000000002</v>
      </c>
      <c r="F63" s="16">
        <v>3.9689999999999999</v>
      </c>
      <c r="G63" s="16">
        <v>39.427999999999997</v>
      </c>
      <c r="H63" s="16">
        <v>458.20499999999998</v>
      </c>
      <c r="I63" s="16">
        <v>233.46799999999999</v>
      </c>
    </row>
    <row r="64" spans="2:10" ht="15">
      <c r="B64" s="29" t="s">
        <v>311</v>
      </c>
      <c r="C64" s="2"/>
      <c r="D64" s="2"/>
      <c r="E64" s="2"/>
      <c r="F64" s="2"/>
      <c r="G64" s="2"/>
      <c r="H64" s="2"/>
      <c r="I64" s="2"/>
    </row>
    <row r="65" spans="2:10" ht="15">
      <c r="B65" s="30" t="s">
        <v>313</v>
      </c>
      <c r="C65" s="3">
        <f>SUM(C63:C64)</f>
        <v>16.384</v>
      </c>
      <c r="D65" s="3">
        <f t="shared" ref="D65:I65" si="9">SUM(D63:D64)</f>
        <v>10.180999999999999</v>
      </c>
      <c r="E65" s="3">
        <f t="shared" si="9"/>
        <v>30.294803000000002</v>
      </c>
      <c r="F65" s="3">
        <f t="shared" si="9"/>
        <v>3.9689999999999999</v>
      </c>
      <c r="G65" s="3">
        <f t="shared" si="9"/>
        <v>39.427999999999997</v>
      </c>
      <c r="H65" s="3">
        <f t="shared" si="9"/>
        <v>458.20499999999998</v>
      </c>
      <c r="I65" s="3">
        <f t="shared" si="9"/>
        <v>233.46799999999999</v>
      </c>
      <c r="J65" s="4"/>
    </row>
    <row r="66" spans="2:10" ht="15">
      <c r="B66" s="29" t="s">
        <v>314</v>
      </c>
      <c r="C66" s="16"/>
      <c r="D66" s="16"/>
      <c r="E66" s="16"/>
      <c r="F66" s="16"/>
      <c r="G66" s="16"/>
      <c r="H66" s="16"/>
      <c r="I66" s="16"/>
    </row>
    <row r="67" spans="2:10" ht="15">
      <c r="B67" s="29" t="s">
        <v>310</v>
      </c>
      <c r="C67" s="16"/>
      <c r="D67" s="16"/>
      <c r="E67" s="16"/>
      <c r="F67" s="16"/>
      <c r="G67" s="16"/>
      <c r="H67" s="16"/>
      <c r="I67" s="16"/>
    </row>
    <row r="68" spans="2:10" ht="15">
      <c r="B68" s="29" t="s">
        <v>311</v>
      </c>
      <c r="C68" s="2"/>
      <c r="D68" s="2"/>
      <c r="E68" s="2"/>
      <c r="F68" s="2"/>
      <c r="G68" s="2"/>
      <c r="H68" s="2"/>
      <c r="I68" s="2"/>
    </row>
    <row r="69" spans="2:10" ht="15">
      <c r="B69" s="30" t="s">
        <v>315</v>
      </c>
      <c r="C69" s="3">
        <f>SUM(C67:C68)</f>
        <v>0</v>
      </c>
      <c r="D69" s="3">
        <f t="shared" ref="D69:I69" si="10">SUM(D67:D68)</f>
        <v>0</v>
      </c>
      <c r="E69" s="3">
        <f t="shared" si="10"/>
        <v>0</v>
      </c>
      <c r="F69" s="3">
        <f t="shared" si="10"/>
        <v>0</v>
      </c>
      <c r="G69" s="3">
        <f t="shared" si="10"/>
        <v>0</v>
      </c>
      <c r="H69" s="3">
        <f t="shared" si="10"/>
        <v>0</v>
      </c>
      <c r="I69" s="3">
        <f t="shared" si="10"/>
        <v>0</v>
      </c>
      <c r="J69" s="4"/>
    </row>
    <row r="70" spans="2:10" ht="15">
      <c r="B70" s="29" t="s">
        <v>316</v>
      </c>
      <c r="C70" s="19"/>
      <c r="D70" s="19"/>
      <c r="E70" s="19"/>
      <c r="F70" s="19"/>
      <c r="G70" s="19"/>
      <c r="H70" s="19"/>
      <c r="I70" s="19"/>
    </row>
    <row r="71" spans="2:10" ht="15.75" thickBot="1">
      <c r="B71" s="17" t="s">
        <v>317</v>
      </c>
      <c r="C71" s="6">
        <f>SUM(C61,C65,C66,C69,C70)</f>
        <v>16.506</v>
      </c>
      <c r="D71" s="6">
        <f t="shared" ref="D71:I71" si="11">SUM(D61,D65,D66,D69,D70)</f>
        <v>10.302999999999999</v>
      </c>
      <c r="E71" s="6">
        <f t="shared" si="11"/>
        <v>30.294803000000002</v>
      </c>
      <c r="F71" s="6">
        <f t="shared" si="11"/>
        <v>3.9689999999999999</v>
      </c>
      <c r="G71" s="6">
        <f t="shared" si="11"/>
        <v>39.427999999999997</v>
      </c>
      <c r="H71" s="6">
        <f t="shared" si="11"/>
        <v>558.005</v>
      </c>
      <c r="I71" s="6">
        <f t="shared" si="11"/>
        <v>432.053</v>
      </c>
      <c r="J71" s="4"/>
    </row>
    <row r="72" spans="2:10" ht="6" customHeight="1" thickTop="1">
      <c r="B72" s="15"/>
      <c r="C72" s="16"/>
      <c r="D72" s="16"/>
      <c r="E72" s="16"/>
      <c r="F72" s="16"/>
      <c r="G72" s="16"/>
      <c r="H72" s="16"/>
      <c r="I72" s="16"/>
    </row>
    <row r="73" spans="2:10" ht="6" customHeight="1">
      <c r="B73" s="15"/>
      <c r="C73" s="16"/>
      <c r="D73" s="16"/>
      <c r="E73" s="16"/>
      <c r="F73" s="16"/>
      <c r="G73" s="16"/>
      <c r="H73" s="16"/>
      <c r="I73" s="16"/>
    </row>
    <row r="74" spans="2:10" ht="15">
      <c r="B74" s="29" t="s">
        <v>318</v>
      </c>
      <c r="C74" s="16"/>
      <c r="D74" s="16"/>
      <c r="E74" s="16"/>
      <c r="F74" s="16"/>
      <c r="G74" s="16">
        <v>0.02</v>
      </c>
      <c r="H74" s="16">
        <v>0.46800000000000003</v>
      </c>
      <c r="I74" s="16">
        <v>0.64800000000000002</v>
      </c>
    </row>
    <row r="75" spans="2:10" ht="15">
      <c r="B75" s="29" t="s">
        <v>258</v>
      </c>
      <c r="C75" s="16"/>
      <c r="D75" s="16"/>
      <c r="E75" s="16"/>
      <c r="F75" s="16"/>
      <c r="G75" s="16"/>
      <c r="H75" s="16"/>
      <c r="I75" s="16"/>
    </row>
    <row r="76" spans="2:10" ht="15">
      <c r="B76" s="29" t="s">
        <v>319</v>
      </c>
      <c r="C76" s="16">
        <v>0</v>
      </c>
      <c r="D76" s="16">
        <v>0.40799999999999997</v>
      </c>
      <c r="E76" s="16">
        <v>2.9628000000000002E-2</v>
      </c>
      <c r="F76" s="16">
        <v>7.516</v>
      </c>
      <c r="G76" s="16">
        <v>0</v>
      </c>
      <c r="H76" s="16">
        <v>0</v>
      </c>
      <c r="I76" s="16">
        <v>34.261000000000003</v>
      </c>
    </row>
    <row r="77" spans="2:10" ht="15">
      <c r="B77" s="29" t="s">
        <v>320</v>
      </c>
      <c r="C77" s="2"/>
      <c r="D77" s="2"/>
      <c r="E77" s="2"/>
      <c r="F77" s="2"/>
      <c r="G77" s="2"/>
      <c r="H77" s="2"/>
      <c r="I77" s="2"/>
    </row>
    <row r="78" spans="2:10" ht="15">
      <c r="B78" s="17" t="s">
        <v>321</v>
      </c>
      <c r="C78" s="3">
        <f t="shared" ref="C78:I78" si="12">SUM(C74:C77)</f>
        <v>0</v>
      </c>
      <c r="D78" s="3">
        <f t="shared" si="12"/>
        <v>0.40799999999999997</v>
      </c>
      <c r="E78" s="3">
        <f t="shared" si="12"/>
        <v>2.9628000000000002E-2</v>
      </c>
      <c r="F78" s="3">
        <f t="shared" si="12"/>
        <v>7.516</v>
      </c>
      <c r="G78" s="3">
        <f t="shared" si="12"/>
        <v>0.02</v>
      </c>
      <c r="H78" s="3">
        <f t="shared" si="12"/>
        <v>0.46800000000000003</v>
      </c>
      <c r="I78" s="3">
        <f t="shared" si="12"/>
        <v>34.909000000000006</v>
      </c>
      <c r="J78" s="4"/>
    </row>
    <row r="79" spans="2:10" ht="6" customHeight="1">
      <c r="B79" s="15"/>
      <c r="C79" s="16"/>
      <c r="D79" s="16"/>
      <c r="E79" s="16"/>
      <c r="F79" s="16"/>
      <c r="G79" s="16"/>
      <c r="H79" s="16"/>
      <c r="I79" s="16"/>
    </row>
    <row r="80" spans="2:10" ht="15">
      <c r="B80" s="29" t="s">
        <v>268</v>
      </c>
      <c r="C80" s="16"/>
      <c r="D80" s="16">
        <v>0.55900000000000005</v>
      </c>
      <c r="E80" s="16"/>
      <c r="F80" s="16"/>
      <c r="G80" s="16">
        <v>2.2959999999999998</v>
      </c>
      <c r="H80" s="16">
        <v>0.40899999999999997</v>
      </c>
      <c r="I80" s="16">
        <v>47.343000000000004</v>
      </c>
    </row>
    <row r="81" spans="2:10" ht="15">
      <c r="B81" s="29" t="s">
        <v>323</v>
      </c>
      <c r="C81" s="16"/>
      <c r="D81" s="16"/>
      <c r="E81" s="16"/>
      <c r="F81" s="16"/>
      <c r="G81" s="16"/>
      <c r="H81" s="16"/>
      <c r="I81" s="16"/>
    </row>
    <row r="82" spans="2:10" ht="15">
      <c r="B82" s="29" t="s">
        <v>324</v>
      </c>
      <c r="C82" s="2"/>
      <c r="D82" s="2"/>
      <c r="E82" s="2">
        <v>0.32073000000000002</v>
      </c>
      <c r="F82" s="2">
        <v>42.89</v>
      </c>
      <c r="G82" s="2">
        <v>11.659000000000001</v>
      </c>
      <c r="H82" s="2">
        <v>11.574</v>
      </c>
      <c r="I82" s="2">
        <v>-63.765000000000001</v>
      </c>
    </row>
    <row r="83" spans="2:10" ht="15">
      <c r="B83" s="30" t="s">
        <v>325</v>
      </c>
      <c r="C83" s="3">
        <f t="shared" ref="C83:I83" si="13">SUM(C80:C82)</f>
        <v>0</v>
      </c>
      <c r="D83" s="3">
        <f t="shared" si="13"/>
        <v>0.55900000000000005</v>
      </c>
      <c r="E83" s="3">
        <f t="shared" si="13"/>
        <v>0.32073000000000002</v>
      </c>
      <c r="F83" s="3">
        <f t="shared" si="13"/>
        <v>42.89</v>
      </c>
      <c r="G83" s="3">
        <f t="shared" si="13"/>
        <v>13.955</v>
      </c>
      <c r="H83" s="3">
        <f t="shared" si="13"/>
        <v>11.983000000000001</v>
      </c>
      <c r="I83" s="3">
        <f t="shared" si="13"/>
        <v>-16.421999999999997</v>
      </c>
      <c r="J83" s="4"/>
    </row>
    <row r="84" spans="2:10" ht="15">
      <c r="B84" s="29" t="s">
        <v>326</v>
      </c>
      <c r="C84" s="16">
        <v>7.5960000000000001</v>
      </c>
      <c r="D84" s="16">
        <v>3.6709999999999998</v>
      </c>
      <c r="E84" s="16"/>
      <c r="F84" s="16"/>
      <c r="G84" s="16"/>
      <c r="H84" s="16"/>
      <c r="I84" s="16"/>
    </row>
    <row r="85" spans="2:10" ht="15">
      <c r="B85" s="29" t="s">
        <v>322</v>
      </c>
      <c r="C85" s="16"/>
      <c r="D85" s="16">
        <v>0.01</v>
      </c>
      <c r="E85" s="16"/>
      <c r="F85" s="16"/>
      <c r="G85" s="16"/>
      <c r="H85" s="16"/>
      <c r="I85" s="16"/>
    </row>
    <row r="86" spans="2:10" ht="15">
      <c r="B86" s="29" t="s">
        <v>324</v>
      </c>
      <c r="C86" s="2">
        <v>0</v>
      </c>
      <c r="D86" s="2">
        <v>0.02</v>
      </c>
      <c r="E86" s="2">
        <v>0</v>
      </c>
      <c r="F86" s="2">
        <v>0</v>
      </c>
      <c r="G86" s="2">
        <v>0</v>
      </c>
      <c r="H86" s="2">
        <v>0</v>
      </c>
      <c r="I86" s="2">
        <v>29.504000000000001</v>
      </c>
    </row>
    <row r="87" spans="2:10" ht="15">
      <c r="B87" s="30" t="s">
        <v>327</v>
      </c>
      <c r="C87" s="3">
        <f t="shared" ref="C87:I87" si="14">SUM(C85:C86)</f>
        <v>0</v>
      </c>
      <c r="D87" s="3">
        <f t="shared" si="14"/>
        <v>0.03</v>
      </c>
      <c r="E87" s="3">
        <f t="shared" si="14"/>
        <v>0</v>
      </c>
      <c r="F87" s="3">
        <f t="shared" si="14"/>
        <v>0</v>
      </c>
      <c r="G87" s="3">
        <f t="shared" si="14"/>
        <v>0</v>
      </c>
      <c r="H87" s="3">
        <f t="shared" si="14"/>
        <v>0</v>
      </c>
      <c r="I87" s="3">
        <f t="shared" si="14"/>
        <v>29.504000000000001</v>
      </c>
      <c r="J87" s="4"/>
    </row>
    <row r="88" spans="2:10" ht="6" customHeight="1">
      <c r="B88" s="15"/>
      <c r="C88" s="16"/>
      <c r="D88" s="16"/>
      <c r="E88" s="16"/>
      <c r="F88" s="16"/>
      <c r="G88" s="16"/>
      <c r="H88" s="16"/>
      <c r="I88" s="16"/>
    </row>
    <row r="89" spans="2:10" ht="15">
      <c r="B89" s="29" t="s">
        <v>328</v>
      </c>
      <c r="C89" s="16"/>
      <c r="D89" s="16"/>
      <c r="E89" s="16">
        <v>8.3334539999999997</v>
      </c>
      <c r="F89" s="16">
        <v>23.994</v>
      </c>
      <c r="G89" s="16">
        <v>57.652999999999999</v>
      </c>
      <c r="H89" s="16">
        <v>152.80799999999999</v>
      </c>
      <c r="I89" s="16">
        <v>101.488</v>
      </c>
    </row>
    <row r="90" spans="2:10" ht="15">
      <c r="B90" s="29" t="s">
        <v>329</v>
      </c>
      <c r="C90" s="16"/>
      <c r="D90" s="16"/>
      <c r="E90" s="16">
        <v>3.829844</v>
      </c>
      <c r="F90" s="16">
        <v>2.444</v>
      </c>
      <c r="G90" s="16">
        <v>4.6950000000000003</v>
      </c>
      <c r="H90" s="16">
        <v>3.0219999999999998</v>
      </c>
      <c r="I90" s="16">
        <v>3.7480000000000002</v>
      </c>
    </row>
    <row r="91" spans="2:10" ht="15">
      <c r="B91" s="29" t="s">
        <v>214</v>
      </c>
      <c r="C91" s="16">
        <v>0.28699999999999998</v>
      </c>
      <c r="D91" s="16">
        <v>0.999</v>
      </c>
      <c r="E91" s="16">
        <v>5.7031200000000002</v>
      </c>
      <c r="F91" s="16"/>
      <c r="G91" s="16"/>
      <c r="H91" s="16"/>
      <c r="I91" s="16"/>
    </row>
    <row r="92" spans="2:10" ht="15">
      <c r="B92" s="29" t="s">
        <v>330</v>
      </c>
      <c r="C92" s="16">
        <v>3.0000000000000001E-3</v>
      </c>
      <c r="D92" s="16"/>
      <c r="E92" s="16">
        <v>0.200151</v>
      </c>
      <c r="F92" s="16">
        <v>1.4379999999999999</v>
      </c>
      <c r="G92" s="16"/>
      <c r="H92" s="16"/>
      <c r="I92" s="16">
        <v>0.39700000000000002</v>
      </c>
    </row>
    <row r="93" spans="2:10" ht="6" customHeight="1">
      <c r="B93" s="29"/>
      <c r="C93" s="16"/>
      <c r="D93" s="16"/>
      <c r="E93" s="16"/>
      <c r="F93" s="16"/>
      <c r="G93" s="16"/>
      <c r="H93" s="16"/>
      <c r="I93" s="16"/>
    </row>
    <row r="94" spans="2:10" ht="15">
      <c r="B94" s="15" t="s">
        <v>331</v>
      </c>
      <c r="C94" s="2"/>
      <c r="D94" s="2"/>
      <c r="E94" s="2"/>
      <c r="F94" s="2"/>
      <c r="G94" s="2"/>
      <c r="H94" s="2"/>
      <c r="I94" s="2"/>
    </row>
    <row r="95" spans="2:10" ht="15">
      <c r="B95" s="17" t="s">
        <v>332</v>
      </c>
      <c r="C95" s="3">
        <f t="shared" ref="C95:I95" si="15">SUM(C83,C84:C84,C89:C92,C94,C87)</f>
        <v>7.8860000000000001</v>
      </c>
      <c r="D95" s="3">
        <f t="shared" si="15"/>
        <v>5.2589999999999995</v>
      </c>
      <c r="E95" s="3">
        <f t="shared" si="15"/>
        <v>18.387299000000002</v>
      </c>
      <c r="F95" s="3">
        <f t="shared" si="15"/>
        <v>70.766000000000005</v>
      </c>
      <c r="G95" s="3">
        <f t="shared" si="15"/>
        <v>76.302999999999997</v>
      </c>
      <c r="H95" s="3">
        <f t="shared" si="15"/>
        <v>167.81299999999999</v>
      </c>
      <c r="I95" s="3">
        <f t="shared" si="15"/>
        <v>118.71500000000002</v>
      </c>
      <c r="J95" s="4"/>
    </row>
    <row r="96" spans="2:10" ht="15.75" thickBot="1">
      <c r="B96" s="15" t="s">
        <v>333</v>
      </c>
      <c r="C96" s="26"/>
      <c r="D96" s="26"/>
      <c r="E96" s="26"/>
      <c r="F96" s="26"/>
      <c r="G96" s="26"/>
      <c r="H96" s="26"/>
      <c r="I96" s="26"/>
    </row>
    <row r="97" spans="2:10" ht="6" customHeight="1" thickTop="1">
      <c r="B97" s="15"/>
      <c r="C97" s="16"/>
      <c r="D97" s="16"/>
      <c r="E97" s="16"/>
      <c r="F97" s="16"/>
      <c r="G97" s="16"/>
      <c r="H97" s="16"/>
      <c r="I97" s="16"/>
    </row>
    <row r="98" spans="2:10" ht="15">
      <c r="B98" s="29" t="s">
        <v>334</v>
      </c>
      <c r="C98" s="16">
        <v>30.826000000000001</v>
      </c>
      <c r="D98" s="16">
        <v>36.887</v>
      </c>
      <c r="E98" s="16">
        <v>13.885999999999999</v>
      </c>
      <c r="F98" s="16">
        <v>18.625</v>
      </c>
      <c r="G98" s="16">
        <v>56.012</v>
      </c>
      <c r="H98" s="16">
        <v>105.589</v>
      </c>
      <c r="I98" s="16">
        <v>356.214</v>
      </c>
    </row>
    <row r="99" spans="2:10" ht="15.75" thickBot="1">
      <c r="B99" s="17" t="s">
        <v>335</v>
      </c>
      <c r="C99" s="6">
        <f t="shared" ref="C99:I99" si="16">SUM(C98:C98)</f>
        <v>30.826000000000001</v>
      </c>
      <c r="D99" s="6">
        <f t="shared" si="16"/>
        <v>36.887</v>
      </c>
      <c r="E99" s="6">
        <f t="shared" si="16"/>
        <v>13.885999999999999</v>
      </c>
      <c r="F99" s="6">
        <f t="shared" si="16"/>
        <v>18.625</v>
      </c>
      <c r="G99" s="6">
        <f t="shared" si="16"/>
        <v>56.012</v>
      </c>
      <c r="H99" s="6">
        <f t="shared" si="16"/>
        <v>105.589</v>
      </c>
      <c r="I99" s="6">
        <f t="shared" si="16"/>
        <v>356.214</v>
      </c>
      <c r="J99" s="4"/>
    </row>
    <row r="100" spans="2:10" ht="6" customHeight="1" thickTop="1">
      <c r="C100" s="25"/>
      <c r="D100" s="25"/>
      <c r="E100" s="25"/>
      <c r="F100" s="25"/>
      <c r="G100" s="25"/>
      <c r="H100" s="25"/>
      <c r="I100" s="25"/>
    </row>
    <row r="101" spans="2:10" ht="15">
      <c r="B101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9BFC-66FF-44DD-A512-0C411E53E208}">
  <sheetPr>
    <pageSetUpPr fitToPage="1"/>
  </sheetPr>
  <dimension ref="B1:J24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/>
  <cols>
    <col min="1" max="1" width="2.625" customWidth="1"/>
    <col min="2" max="2" width="59.625" bestFit="1" customWidth="1"/>
    <col min="3" max="9" width="9.625" customWidth="1"/>
  </cols>
  <sheetData>
    <row r="1" spans="2:10" ht="15">
      <c r="B1" s="12" t="str">
        <f>+Cover!B3</f>
        <v>Knowledge Marine &amp; Engineering Works Ltd.</v>
      </c>
    </row>
    <row r="3" spans="2:10" ht="15">
      <c r="B3" s="13" t="s">
        <v>265</v>
      </c>
      <c r="C3" s="14"/>
      <c r="D3" s="14"/>
      <c r="E3" s="14"/>
      <c r="F3" s="14"/>
      <c r="G3" s="14"/>
      <c r="H3" s="14"/>
      <c r="I3" s="14"/>
    </row>
    <row r="4" spans="2:10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4"/>
    </row>
    <row r="5" spans="2:10" ht="15">
      <c r="B5" s="8"/>
      <c r="C5" s="10" t="s">
        <v>9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2:10" ht="15">
      <c r="B6" s="15" t="s">
        <v>251</v>
      </c>
      <c r="C6" s="16">
        <v>106.009</v>
      </c>
      <c r="D6" s="16">
        <v>105.672</v>
      </c>
      <c r="E6" s="16">
        <v>239.088088</v>
      </c>
      <c r="F6" s="16">
        <v>332.822</v>
      </c>
      <c r="G6" s="16">
        <v>611.06299999999999</v>
      </c>
      <c r="H6" s="16">
        <v>2015.296</v>
      </c>
      <c r="I6" s="16">
        <v>1635.8309999999999</v>
      </c>
    </row>
    <row r="7" spans="2:10" ht="15">
      <c r="B7" s="17" t="s">
        <v>252</v>
      </c>
      <c r="C7" s="5">
        <f t="shared" ref="C7:I7" si="0">SUM(C6:C6)</f>
        <v>106.009</v>
      </c>
      <c r="D7" s="5">
        <f t="shared" si="0"/>
        <v>105.672</v>
      </c>
      <c r="E7" s="5">
        <f t="shared" si="0"/>
        <v>239.088088</v>
      </c>
      <c r="F7" s="5">
        <f t="shared" si="0"/>
        <v>332.822</v>
      </c>
      <c r="G7" s="5">
        <f t="shared" si="0"/>
        <v>611.06299999999999</v>
      </c>
      <c r="H7" s="5">
        <f t="shared" si="0"/>
        <v>2015.296</v>
      </c>
      <c r="I7" s="5">
        <f t="shared" si="0"/>
        <v>1635.8309999999999</v>
      </c>
      <c r="J7" s="4"/>
    </row>
    <row r="8" spans="2:10" ht="15">
      <c r="B8" s="15" t="s">
        <v>253</v>
      </c>
      <c r="C8" s="16"/>
      <c r="D8" s="16"/>
      <c r="E8" s="16"/>
      <c r="F8" s="16"/>
      <c r="G8" s="16"/>
      <c r="H8" s="16"/>
      <c r="I8" s="16"/>
    </row>
    <row r="9" spans="2:10" ht="15">
      <c r="B9" s="15" t="s">
        <v>254</v>
      </c>
      <c r="C9" s="16"/>
      <c r="D9" s="16"/>
      <c r="E9" s="16"/>
      <c r="F9" s="16"/>
      <c r="G9" s="16"/>
      <c r="H9" s="16"/>
      <c r="I9" s="16"/>
    </row>
    <row r="10" spans="2:10" ht="15">
      <c r="B10" s="15" t="s">
        <v>255</v>
      </c>
      <c r="C10" s="2"/>
      <c r="D10" s="2"/>
      <c r="E10" s="2"/>
      <c r="F10" s="2"/>
      <c r="G10" s="2"/>
      <c r="H10" s="2"/>
      <c r="I10" s="2"/>
    </row>
    <row r="11" spans="2:10" ht="15.75" thickBot="1">
      <c r="B11" s="17" t="s">
        <v>256</v>
      </c>
      <c r="C11" s="6">
        <f>SUM(C7,C8:C10)</f>
        <v>106.009</v>
      </c>
      <c r="D11" s="6">
        <f t="shared" ref="D11:I11" si="1">SUM(D7,D8:D10)</f>
        <v>105.672</v>
      </c>
      <c r="E11" s="6">
        <f t="shared" si="1"/>
        <v>239.088088</v>
      </c>
      <c r="F11" s="6">
        <f t="shared" si="1"/>
        <v>332.822</v>
      </c>
      <c r="G11" s="6">
        <f t="shared" si="1"/>
        <v>611.06299999999999</v>
      </c>
      <c r="H11" s="6">
        <f t="shared" si="1"/>
        <v>2015.296</v>
      </c>
      <c r="I11" s="6">
        <f t="shared" si="1"/>
        <v>1635.8309999999999</v>
      </c>
      <c r="J11" s="4"/>
    </row>
    <row r="12" spans="2:10" ht="6" customHeight="1" thickTop="1">
      <c r="B12" s="15"/>
      <c r="C12" s="16"/>
      <c r="D12" s="16"/>
      <c r="E12" s="16"/>
      <c r="F12" s="16"/>
      <c r="G12" s="16"/>
      <c r="H12" s="16"/>
      <c r="I12" s="16"/>
    </row>
    <row r="13" spans="2:10" ht="6" customHeight="1">
      <c r="B13" s="15"/>
      <c r="C13" s="16"/>
      <c r="D13" s="16"/>
      <c r="E13" s="16"/>
      <c r="F13" s="16"/>
      <c r="G13" s="16"/>
      <c r="H13" s="16"/>
      <c r="I13" s="16"/>
    </row>
    <row r="14" spans="2:10" ht="15">
      <c r="B14" s="15" t="s">
        <v>257</v>
      </c>
      <c r="C14" s="16"/>
      <c r="D14" s="16"/>
      <c r="E14" s="16">
        <v>0.15815399999999999</v>
      </c>
      <c r="F14" s="16"/>
      <c r="G14" s="16"/>
      <c r="H14" s="16"/>
      <c r="I14" s="16"/>
    </row>
    <row r="15" spans="2:10" ht="15">
      <c r="B15" s="15" t="s">
        <v>259</v>
      </c>
      <c r="C15" s="16"/>
      <c r="D15" s="16"/>
      <c r="E15" s="16">
        <v>1.639629</v>
      </c>
      <c r="F15" s="16">
        <v>0.13600000000000001</v>
      </c>
      <c r="G15" s="16">
        <v>0.51800000000000002</v>
      </c>
      <c r="H15" s="16">
        <v>1.7000000000000001E-2</v>
      </c>
      <c r="I15" s="16"/>
    </row>
    <row r="16" spans="2:10" ht="15">
      <c r="B16" s="15" t="s">
        <v>260</v>
      </c>
      <c r="C16" s="16"/>
      <c r="D16" s="16"/>
      <c r="E16" s="16">
        <v>1.4312E-2</v>
      </c>
      <c r="F16" s="16"/>
      <c r="G16" s="16"/>
      <c r="H16" s="16">
        <v>1E-3</v>
      </c>
      <c r="I16" s="16">
        <v>0.01</v>
      </c>
    </row>
    <row r="17" spans="2:10" ht="15">
      <c r="B17" s="15" t="s">
        <v>261</v>
      </c>
      <c r="C17" s="16"/>
      <c r="D17" s="16"/>
      <c r="E17" s="16"/>
      <c r="F17" s="16"/>
      <c r="G17" s="16">
        <v>0.94499999999999995</v>
      </c>
      <c r="H17" s="16"/>
      <c r="I17" s="16"/>
    </row>
    <row r="18" spans="2:10" ht="15">
      <c r="B18" s="15" t="s">
        <v>262</v>
      </c>
      <c r="C18" s="2">
        <v>0.41</v>
      </c>
      <c r="D18" s="2">
        <v>0.28000000000000003</v>
      </c>
      <c r="E18" s="2">
        <v>0.89573499999999995</v>
      </c>
      <c r="F18" s="2">
        <v>1.2</v>
      </c>
      <c r="G18" s="2">
        <v>3.645</v>
      </c>
      <c r="H18" s="2">
        <v>13.805</v>
      </c>
      <c r="I18" s="2">
        <v>31.221</v>
      </c>
    </row>
    <row r="19" spans="2:10" ht="15">
      <c r="B19" s="23" t="s">
        <v>18</v>
      </c>
      <c r="C19" s="3">
        <f t="shared" ref="C19:I19" si="2">SUM(C18:C18)</f>
        <v>0.41</v>
      </c>
      <c r="D19" s="3">
        <f t="shared" si="2"/>
        <v>0.28000000000000003</v>
      </c>
      <c r="E19" s="3">
        <f t="shared" si="2"/>
        <v>0.89573499999999995</v>
      </c>
      <c r="F19" s="3">
        <f t="shared" si="2"/>
        <v>1.2</v>
      </c>
      <c r="G19" s="3">
        <f t="shared" si="2"/>
        <v>3.645</v>
      </c>
      <c r="H19" s="3">
        <f t="shared" si="2"/>
        <v>13.805</v>
      </c>
      <c r="I19" s="3">
        <f t="shared" si="2"/>
        <v>31.221</v>
      </c>
      <c r="J19" s="4"/>
    </row>
    <row r="20" spans="2:10" ht="15">
      <c r="B20" s="15" t="s">
        <v>263</v>
      </c>
      <c r="C20" s="16"/>
      <c r="D20" s="16"/>
      <c r="E20" s="16"/>
      <c r="F20" s="16"/>
      <c r="G20" s="16"/>
      <c r="H20" s="16"/>
      <c r="I20" s="16"/>
    </row>
    <row r="21" spans="2:10" ht="15">
      <c r="B21" s="15" t="s">
        <v>50</v>
      </c>
      <c r="C21" s="16"/>
      <c r="D21" s="16"/>
      <c r="E21" s="16"/>
      <c r="F21" s="16"/>
      <c r="G21" s="16"/>
      <c r="H21" s="16"/>
      <c r="I21" s="16">
        <v>2.5999999999999999E-2</v>
      </c>
    </row>
    <row r="22" spans="2:10" ht="15">
      <c r="B22" s="17" t="s">
        <v>264</v>
      </c>
      <c r="C22" s="5">
        <f t="shared" ref="C22:I22" si="3">SUM(C19,C20:C21,C14:C16)</f>
        <v>0.41</v>
      </c>
      <c r="D22" s="5">
        <f t="shared" si="3"/>
        <v>0.28000000000000003</v>
      </c>
      <c r="E22" s="5">
        <f t="shared" si="3"/>
        <v>2.70783</v>
      </c>
      <c r="F22" s="5">
        <f t="shared" si="3"/>
        <v>1.3359999999999999</v>
      </c>
      <c r="G22" s="5">
        <f t="shared" si="3"/>
        <v>4.1630000000000003</v>
      </c>
      <c r="H22" s="5">
        <f t="shared" si="3"/>
        <v>13.822999999999999</v>
      </c>
      <c r="I22" s="5">
        <f t="shared" si="3"/>
        <v>31.257000000000001</v>
      </c>
      <c r="J22" s="4"/>
    </row>
    <row r="23" spans="2:10" ht="6" customHeight="1">
      <c r="C23" s="25"/>
      <c r="D23" s="25"/>
      <c r="E23" s="25"/>
      <c r="F23" s="25"/>
      <c r="G23" s="25"/>
      <c r="H23" s="25"/>
      <c r="I23" s="25"/>
    </row>
    <row r="24" spans="2:10" ht="15">
      <c r="B24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F517-4A02-4AF4-B7F1-D26573D4B113}">
  <sheetPr>
    <pageSetUpPr fitToPage="1"/>
  </sheetPr>
  <dimension ref="B1:J205"/>
  <sheetViews>
    <sheetView showGridLines="0" view="pageBreakPreview" zoomScaleNormal="100" zoomScaleSheetLayoutView="100" workbookViewId="0">
      <pane xSplit="2" ySplit="5" topLeftCell="C19" activePane="bottomRight" state="frozen"/>
      <selection pane="topRight" activeCell="C1" sqref="C1"/>
      <selection pane="bottomLeft" activeCell="A6" sqref="A6"/>
      <selection pane="bottomRight" activeCell="I53" sqref="I53"/>
    </sheetView>
  </sheetViews>
  <sheetFormatPr defaultRowHeight="14.25"/>
  <cols>
    <col min="1" max="1" width="2.625" customWidth="1"/>
    <col min="2" max="2" width="48.25" bestFit="1" customWidth="1"/>
    <col min="3" max="9" width="9.625" customWidth="1"/>
  </cols>
  <sheetData>
    <row r="1" spans="2:10" ht="15">
      <c r="B1" s="12" t="str">
        <f>+Cover!B3</f>
        <v>Knowledge Marine &amp; Engineering Works Ltd.</v>
      </c>
    </row>
    <row r="3" spans="2:10" ht="15">
      <c r="B3" s="13" t="s">
        <v>250</v>
      </c>
      <c r="C3" s="14"/>
      <c r="D3" s="14"/>
      <c r="E3" s="14"/>
      <c r="F3" s="14"/>
      <c r="G3" s="14"/>
      <c r="H3" s="14"/>
      <c r="I3" s="14"/>
    </row>
    <row r="4" spans="2:10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4"/>
    </row>
    <row r="5" spans="2:10" ht="15">
      <c r="B5" s="8"/>
      <c r="C5" s="10" t="s">
        <v>9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2:10" ht="6" customHeight="1">
      <c r="B6" s="15"/>
      <c r="C6" s="16"/>
      <c r="D6" s="16"/>
      <c r="E6" s="16"/>
      <c r="F6" s="16"/>
      <c r="G6" s="16"/>
      <c r="H6" s="16"/>
      <c r="I6" s="16"/>
    </row>
    <row r="7" spans="2:10" ht="15">
      <c r="B7" s="15" t="s">
        <v>90</v>
      </c>
      <c r="C7" s="16"/>
      <c r="D7" s="16"/>
      <c r="E7" s="16"/>
      <c r="F7" s="16"/>
      <c r="G7" s="16"/>
      <c r="H7" s="16"/>
      <c r="I7" s="16"/>
    </row>
    <row r="8" spans="2:10" ht="15">
      <c r="B8" s="15" t="s">
        <v>91</v>
      </c>
      <c r="C8" s="16"/>
      <c r="D8" s="16"/>
      <c r="E8" s="16"/>
      <c r="F8" s="16"/>
      <c r="G8" s="16"/>
      <c r="H8" s="16"/>
      <c r="I8" s="16"/>
    </row>
    <row r="9" spans="2:10" ht="15">
      <c r="B9" s="15" t="s">
        <v>92</v>
      </c>
      <c r="C9" s="16"/>
      <c r="D9" s="16"/>
      <c r="E9" s="16"/>
      <c r="F9" s="16"/>
      <c r="G9" s="16"/>
      <c r="H9" s="16"/>
      <c r="I9" s="16"/>
    </row>
    <row r="10" spans="2:10" ht="15">
      <c r="B10" s="15" t="s">
        <v>93</v>
      </c>
      <c r="C10" s="16"/>
      <c r="D10" s="16"/>
      <c r="E10" s="16"/>
      <c r="F10" s="16"/>
      <c r="G10" s="16"/>
      <c r="H10" s="16"/>
      <c r="I10" s="16"/>
    </row>
    <row r="11" spans="2:10" ht="15">
      <c r="B11" s="15" t="s">
        <v>94</v>
      </c>
      <c r="C11" s="16"/>
      <c r="D11" s="16"/>
      <c r="E11" s="16"/>
      <c r="F11" s="16"/>
      <c r="G11" s="16"/>
      <c r="H11" s="16"/>
      <c r="I11" s="16"/>
    </row>
    <row r="12" spans="2:10" ht="15">
      <c r="B12" s="15" t="s">
        <v>95</v>
      </c>
      <c r="C12" s="16"/>
      <c r="D12" s="16"/>
      <c r="E12" s="16"/>
      <c r="F12" s="16"/>
      <c r="G12" s="16"/>
      <c r="H12" s="16"/>
      <c r="I12" s="16"/>
    </row>
    <row r="13" spans="2:10" ht="15">
      <c r="B13" s="15" t="s">
        <v>96</v>
      </c>
      <c r="C13" s="16"/>
      <c r="D13" s="16"/>
      <c r="E13" s="16"/>
      <c r="F13" s="16"/>
      <c r="G13" s="16"/>
      <c r="H13" s="16"/>
      <c r="I13" s="16"/>
    </row>
    <row r="14" spans="2:10" ht="15">
      <c r="B14" s="15" t="s">
        <v>97</v>
      </c>
      <c r="C14" s="16"/>
      <c r="D14" s="16"/>
      <c r="E14" s="16"/>
      <c r="F14" s="16"/>
      <c r="G14" s="16"/>
      <c r="H14" s="16"/>
      <c r="I14" s="16"/>
    </row>
    <row r="15" spans="2:10" ht="15">
      <c r="B15" s="15" t="s">
        <v>98</v>
      </c>
      <c r="C15" s="16"/>
      <c r="D15" s="16"/>
      <c r="E15" s="16"/>
      <c r="F15" s="16"/>
      <c r="G15" s="16"/>
      <c r="H15" s="16"/>
      <c r="I15" s="16"/>
    </row>
    <row r="16" spans="2:10" ht="15">
      <c r="B16" s="15" t="s">
        <v>99</v>
      </c>
      <c r="C16" s="16"/>
      <c r="D16" s="16"/>
      <c r="E16" s="16"/>
      <c r="F16" s="16"/>
      <c r="G16" s="16"/>
      <c r="H16" s="16"/>
      <c r="I16" s="16"/>
    </row>
    <row r="17" spans="2:10" ht="15">
      <c r="B17" s="15" t="s">
        <v>100</v>
      </c>
      <c r="C17" s="16"/>
      <c r="D17" s="16"/>
      <c r="E17" s="16"/>
      <c r="F17" s="16"/>
      <c r="G17" s="16"/>
      <c r="H17" s="16"/>
      <c r="I17" s="16"/>
    </row>
    <row r="18" spans="2:10" ht="15">
      <c r="B18" s="15" t="s">
        <v>101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</row>
    <row r="19" spans="2:10" ht="15">
      <c r="B19" s="15" t="s">
        <v>102</v>
      </c>
      <c r="C19" s="2"/>
      <c r="D19" s="2"/>
      <c r="E19" s="2"/>
      <c r="F19" s="2"/>
      <c r="G19" s="2"/>
      <c r="H19" s="2"/>
      <c r="I19" s="2"/>
    </row>
    <row r="20" spans="2:10" ht="15">
      <c r="B20" s="17" t="s">
        <v>103</v>
      </c>
      <c r="C20" s="3">
        <f>SUM(C7:C19)</f>
        <v>0</v>
      </c>
      <c r="D20" s="3">
        <f t="shared" ref="D20:I20" si="0">SUM(D7:D19)</f>
        <v>0</v>
      </c>
      <c r="E20" s="3">
        <f t="shared" si="0"/>
        <v>0</v>
      </c>
      <c r="F20" s="3">
        <f t="shared" si="0"/>
        <v>0</v>
      </c>
      <c r="G20" s="3">
        <f t="shared" si="0"/>
        <v>0</v>
      </c>
      <c r="H20" s="3">
        <f t="shared" si="0"/>
        <v>0</v>
      </c>
      <c r="I20" s="3">
        <f t="shared" si="0"/>
        <v>0</v>
      </c>
      <c r="J20" s="4"/>
    </row>
    <row r="21" spans="2:10" ht="6" customHeight="1">
      <c r="B21" s="15"/>
      <c r="C21" s="16"/>
      <c r="D21" s="16"/>
      <c r="E21" s="16"/>
      <c r="F21" s="16"/>
      <c r="G21" s="16"/>
      <c r="H21" s="16"/>
      <c r="I21" s="16"/>
    </row>
    <row r="22" spans="2:10" ht="15">
      <c r="B22" s="15" t="s">
        <v>104</v>
      </c>
      <c r="C22" s="16"/>
      <c r="D22" s="16"/>
      <c r="E22" s="16"/>
      <c r="F22" s="16"/>
      <c r="G22" s="16"/>
      <c r="H22" s="16"/>
      <c r="I22" s="16"/>
    </row>
    <row r="23" spans="2:10" ht="15">
      <c r="B23" s="15" t="s">
        <v>105</v>
      </c>
      <c r="C23" s="16"/>
      <c r="D23" s="16"/>
      <c r="E23" s="16"/>
      <c r="F23" s="16"/>
      <c r="G23" s="16"/>
      <c r="H23" s="16"/>
      <c r="I23" s="16"/>
    </row>
    <row r="24" spans="2:10" ht="15">
      <c r="B24" s="15" t="s">
        <v>106</v>
      </c>
      <c r="C24" s="16"/>
      <c r="D24" s="16"/>
      <c r="E24" s="16"/>
      <c r="F24" s="16"/>
      <c r="G24" s="16"/>
      <c r="H24" s="16"/>
      <c r="I24" s="16"/>
    </row>
    <row r="25" spans="2:10" ht="15">
      <c r="B25" s="15" t="s">
        <v>107</v>
      </c>
      <c r="C25" s="16"/>
      <c r="D25" s="16"/>
      <c r="E25" s="16"/>
      <c r="F25" s="16"/>
      <c r="G25" s="16"/>
      <c r="H25" s="16"/>
      <c r="I25" s="16"/>
    </row>
    <row r="26" spans="2:10" ht="15">
      <c r="B26" s="15" t="s">
        <v>108</v>
      </c>
      <c r="C26" s="16"/>
      <c r="D26" s="16"/>
      <c r="E26" s="16"/>
      <c r="F26" s="16"/>
      <c r="G26" s="16"/>
      <c r="H26" s="16"/>
      <c r="I26" s="16"/>
    </row>
    <row r="27" spans="2:10" ht="15">
      <c r="B27" s="15" t="s">
        <v>109</v>
      </c>
      <c r="C27" s="16"/>
      <c r="D27" s="16"/>
      <c r="E27" s="16"/>
      <c r="F27" s="16"/>
      <c r="G27" s="16"/>
      <c r="H27" s="16"/>
      <c r="I27" s="16"/>
    </row>
    <row r="28" spans="2:10" ht="15">
      <c r="B28" s="15" t="s">
        <v>50</v>
      </c>
      <c r="C28" s="16"/>
      <c r="D28" s="16"/>
      <c r="E28" s="16">
        <v>11.185403000000001</v>
      </c>
      <c r="F28" s="16">
        <v>12.512</v>
      </c>
      <c r="G28" s="16">
        <v>6.95</v>
      </c>
      <c r="H28" s="16">
        <v>52.125999999999998</v>
      </c>
      <c r="I28" s="16">
        <v>67.870999999999995</v>
      </c>
    </row>
    <row r="29" spans="2:10" ht="15">
      <c r="B29" s="15" t="s">
        <v>110</v>
      </c>
      <c r="C29" s="2"/>
      <c r="D29" s="2"/>
      <c r="E29" s="2"/>
      <c r="F29" s="2"/>
      <c r="G29" s="2"/>
      <c r="H29" s="2"/>
      <c r="I29" s="2"/>
    </row>
    <row r="30" spans="2:10" ht="15">
      <c r="B30" s="17" t="s">
        <v>111</v>
      </c>
      <c r="C30" s="3">
        <f>SUM(C22:C29)</f>
        <v>0</v>
      </c>
      <c r="D30" s="3">
        <f t="shared" ref="D30:I30" si="1">SUM(D22:D29)</f>
        <v>0</v>
      </c>
      <c r="E30" s="3">
        <f t="shared" si="1"/>
        <v>11.185403000000001</v>
      </c>
      <c r="F30" s="3">
        <f t="shared" si="1"/>
        <v>12.512</v>
      </c>
      <c r="G30" s="3">
        <f t="shared" si="1"/>
        <v>6.95</v>
      </c>
      <c r="H30" s="3">
        <f t="shared" si="1"/>
        <v>52.125999999999998</v>
      </c>
      <c r="I30" s="3">
        <f t="shared" si="1"/>
        <v>67.870999999999995</v>
      </c>
      <c r="J30" s="4"/>
    </row>
    <row r="31" spans="2:10" ht="6" customHeight="1">
      <c r="B31" s="15"/>
      <c r="C31" s="16"/>
      <c r="D31" s="16"/>
      <c r="E31" s="16"/>
      <c r="F31" s="16"/>
      <c r="G31" s="16"/>
      <c r="H31" s="16"/>
      <c r="I31" s="16"/>
    </row>
    <row r="32" spans="2:10" ht="15">
      <c r="B32" s="15" t="s">
        <v>112</v>
      </c>
      <c r="C32" s="16">
        <v>0.11</v>
      </c>
      <c r="D32" s="16">
        <v>3.5999999999999997E-2</v>
      </c>
      <c r="E32" s="16">
        <v>4.6233999999999997E-2</v>
      </c>
      <c r="F32" s="16">
        <v>0.192</v>
      </c>
      <c r="G32" s="16">
        <v>0.22</v>
      </c>
      <c r="H32" s="16">
        <v>0.23899999999999999</v>
      </c>
      <c r="I32" s="16">
        <v>0.73799999999999999</v>
      </c>
    </row>
    <row r="33" spans="2:10" ht="15">
      <c r="B33" s="15" t="s">
        <v>113</v>
      </c>
      <c r="C33" s="16"/>
      <c r="D33" s="16"/>
      <c r="E33" s="16"/>
      <c r="F33" s="16"/>
      <c r="G33" s="16"/>
      <c r="H33" s="16"/>
      <c r="I33" s="16"/>
    </row>
    <row r="34" spans="2:10" ht="15">
      <c r="B34" s="15" t="s">
        <v>114</v>
      </c>
      <c r="C34" s="16">
        <v>1.9470000000000001</v>
      </c>
      <c r="D34" s="16">
        <v>14.994</v>
      </c>
      <c r="E34" s="16">
        <v>53.594814</v>
      </c>
      <c r="F34" s="16">
        <v>49.570999999999998</v>
      </c>
      <c r="G34" s="16">
        <v>73.831999999999994</v>
      </c>
      <c r="H34" s="16">
        <v>169.34299999999999</v>
      </c>
      <c r="I34" s="16">
        <v>92.596999999999994</v>
      </c>
    </row>
    <row r="35" spans="2:10" ht="15">
      <c r="B35" s="15" t="s">
        <v>115</v>
      </c>
      <c r="C35" s="16"/>
      <c r="D35" s="16"/>
      <c r="E35" s="16"/>
      <c r="F35" s="16"/>
      <c r="G35" s="16"/>
      <c r="H35" s="16"/>
      <c r="I35" s="16"/>
    </row>
    <row r="36" spans="2:10" ht="15">
      <c r="B36" s="17" t="s">
        <v>116</v>
      </c>
      <c r="C36" s="5">
        <f t="shared" ref="C36:I36" si="2">SUM(C32:C35)</f>
        <v>2.0569999999999999</v>
      </c>
      <c r="D36" s="5">
        <f t="shared" si="2"/>
        <v>15.03</v>
      </c>
      <c r="E36" s="5">
        <f t="shared" si="2"/>
        <v>53.641047999999998</v>
      </c>
      <c r="F36" s="5">
        <f t="shared" si="2"/>
        <v>49.762999999999998</v>
      </c>
      <c r="G36" s="5">
        <f t="shared" si="2"/>
        <v>74.051999999999992</v>
      </c>
      <c r="H36" s="5">
        <f t="shared" si="2"/>
        <v>169.58199999999999</v>
      </c>
      <c r="I36" s="5">
        <f t="shared" si="2"/>
        <v>93.334999999999994</v>
      </c>
      <c r="J36" s="4"/>
    </row>
    <row r="37" spans="2:10" ht="6" customHeight="1">
      <c r="B37" s="15"/>
      <c r="C37" s="16"/>
      <c r="D37" s="16"/>
      <c r="E37" s="16"/>
      <c r="F37" s="16"/>
      <c r="G37" s="16"/>
      <c r="H37" s="16"/>
      <c r="I37" s="16"/>
    </row>
    <row r="38" spans="2:10" ht="15">
      <c r="B38" s="15" t="s">
        <v>117</v>
      </c>
      <c r="C38" s="16">
        <v>49.427</v>
      </c>
      <c r="D38" s="16"/>
      <c r="E38" s="16">
        <v>53.510632000000001</v>
      </c>
      <c r="F38" s="16">
        <v>67.468000000000004</v>
      </c>
      <c r="G38" s="16">
        <v>112.79600000000001</v>
      </c>
      <c r="H38" s="16">
        <v>933.42700000000002</v>
      </c>
      <c r="I38" s="16">
        <v>785.82899999999995</v>
      </c>
    </row>
    <row r="39" spans="2:10" ht="15">
      <c r="B39" s="15" t="s">
        <v>118</v>
      </c>
      <c r="C39" s="16">
        <v>0.29399999999999998</v>
      </c>
      <c r="D39" s="16">
        <v>1.2030000000000001</v>
      </c>
      <c r="E39" s="16"/>
      <c r="F39" s="16"/>
      <c r="G39" s="16"/>
      <c r="H39" s="16"/>
      <c r="I39" s="16"/>
    </row>
    <row r="40" spans="2:10" ht="15">
      <c r="B40" s="15" t="s">
        <v>119</v>
      </c>
      <c r="C40" s="2">
        <v>0.23100000000000001</v>
      </c>
      <c r="D40" s="2"/>
      <c r="E40" s="2">
        <v>14.806597</v>
      </c>
      <c r="F40" s="2">
        <v>17.928000000000001</v>
      </c>
      <c r="G40" s="2">
        <v>6.2149999999999999</v>
      </c>
      <c r="H40" s="2">
        <v>44.503</v>
      </c>
      <c r="I40" s="2">
        <v>14.247999999999999</v>
      </c>
    </row>
    <row r="41" spans="2:10" ht="15">
      <c r="B41" s="17" t="s">
        <v>120</v>
      </c>
      <c r="C41" s="3">
        <f t="shared" ref="C41:I41" si="3">SUM(C40:C40)</f>
        <v>0.23100000000000001</v>
      </c>
      <c r="D41" s="3">
        <f t="shared" si="3"/>
        <v>0</v>
      </c>
      <c r="E41" s="3">
        <f t="shared" si="3"/>
        <v>14.806597</v>
      </c>
      <c r="F41" s="3">
        <f t="shared" si="3"/>
        <v>17.928000000000001</v>
      </c>
      <c r="G41" s="3">
        <f t="shared" si="3"/>
        <v>6.2149999999999999</v>
      </c>
      <c r="H41" s="3">
        <f t="shared" si="3"/>
        <v>44.503</v>
      </c>
      <c r="I41" s="3">
        <f t="shared" si="3"/>
        <v>14.247999999999999</v>
      </c>
      <c r="J41" s="4"/>
    </row>
    <row r="42" spans="2:10" ht="6" customHeight="1">
      <c r="B42" s="15"/>
      <c r="C42" s="16"/>
      <c r="D42" s="16"/>
      <c r="E42" s="16"/>
      <c r="F42" s="16"/>
      <c r="G42" s="16"/>
      <c r="H42" s="16"/>
      <c r="I42" s="16"/>
    </row>
    <row r="43" spans="2:10" ht="15">
      <c r="B43" s="15" t="s">
        <v>121</v>
      </c>
      <c r="C43" s="16"/>
      <c r="D43" s="16"/>
      <c r="E43" s="16"/>
      <c r="F43" s="16"/>
      <c r="G43" s="16"/>
      <c r="H43" s="16"/>
      <c r="I43" s="16">
        <v>2.66</v>
      </c>
    </row>
    <row r="44" spans="2:10" ht="15">
      <c r="B44" s="15" t="s">
        <v>122</v>
      </c>
      <c r="C44" s="16"/>
      <c r="D44" s="16"/>
      <c r="E44" s="16"/>
      <c r="F44" s="16">
        <v>0.755</v>
      </c>
      <c r="G44" s="16">
        <v>1.841</v>
      </c>
      <c r="H44" s="16">
        <v>9.6029999999999998</v>
      </c>
      <c r="I44" s="16">
        <v>13.057</v>
      </c>
    </row>
    <row r="45" spans="2:10" ht="15">
      <c r="B45" s="15" t="s">
        <v>123</v>
      </c>
      <c r="C45" s="16"/>
      <c r="D45" s="16"/>
      <c r="E45" s="16"/>
      <c r="F45" s="16">
        <v>2.7250000000000001</v>
      </c>
      <c r="G45" s="16">
        <v>3.6949999999999998</v>
      </c>
      <c r="H45" s="16">
        <v>15.849</v>
      </c>
      <c r="I45" s="16">
        <v>13.32</v>
      </c>
    </row>
    <row r="46" spans="2:10" ht="15">
      <c r="B46" s="15" t="s">
        <v>124</v>
      </c>
      <c r="C46" s="16">
        <v>0.29799999999999999</v>
      </c>
      <c r="D46" s="16">
        <v>4.8949999999999996</v>
      </c>
      <c r="E46" s="16"/>
      <c r="F46" s="16"/>
      <c r="G46" s="16"/>
      <c r="H46" s="16"/>
      <c r="I46" s="16"/>
    </row>
    <row r="47" spans="2:10" ht="15">
      <c r="B47" s="15" t="s">
        <v>125</v>
      </c>
      <c r="C47" s="16"/>
      <c r="D47" s="16"/>
      <c r="E47" s="16">
        <v>27.450422</v>
      </c>
      <c r="F47" s="16">
        <v>31.271999999999998</v>
      </c>
      <c r="G47" s="16">
        <v>41.506</v>
      </c>
      <c r="H47" s="16">
        <v>61.619</v>
      </c>
      <c r="I47" s="16">
        <v>82.048000000000002</v>
      </c>
    </row>
    <row r="48" spans="2:10" ht="15">
      <c r="B48" s="15" t="s">
        <v>126</v>
      </c>
      <c r="C48" s="16">
        <v>0.17399999999999999</v>
      </c>
      <c r="D48" s="16"/>
      <c r="E48" s="16">
        <v>90.739543999999995</v>
      </c>
      <c r="F48" s="16">
        <v>165.61600000000001</v>
      </c>
      <c r="G48" s="16">
        <v>182.35300000000001</v>
      </c>
      <c r="H48" s="16">
        <v>129.83500000000001</v>
      </c>
      <c r="I48" s="16">
        <v>31.49</v>
      </c>
    </row>
    <row r="49" spans="2:10" ht="15">
      <c r="B49" s="15" t="s">
        <v>129</v>
      </c>
      <c r="C49" s="16">
        <v>8.2390000000000008</v>
      </c>
      <c r="D49" s="16">
        <v>8.5459999999999994</v>
      </c>
      <c r="E49" s="16">
        <v>13.259734</v>
      </c>
      <c r="F49" s="16">
        <v>50.831000000000003</v>
      </c>
      <c r="G49" s="16">
        <v>49.347000000000001</v>
      </c>
      <c r="H49" s="16">
        <v>33.673000000000002</v>
      </c>
      <c r="I49" s="16">
        <v>51.146999999999998</v>
      </c>
    </row>
    <row r="50" spans="2:10" ht="15">
      <c r="B50" s="15" t="s">
        <v>130</v>
      </c>
      <c r="C50" s="2"/>
      <c r="D50" s="2"/>
      <c r="E50" s="2">
        <v>-142.386484</v>
      </c>
      <c r="F50" s="2">
        <v>-238.07</v>
      </c>
      <c r="G50" s="2">
        <v>-248.292</v>
      </c>
      <c r="H50" s="2">
        <v>-210.15700000000001</v>
      </c>
      <c r="I50" s="2">
        <v>-166.886</v>
      </c>
    </row>
    <row r="51" spans="2:10" ht="15">
      <c r="B51" s="17" t="s">
        <v>131</v>
      </c>
      <c r="C51" s="3">
        <f t="shared" ref="C51:I51" si="4">SUM(C38:C39,C43:C50,C41)</f>
        <v>58.663000000000004</v>
      </c>
      <c r="D51" s="3">
        <f t="shared" si="4"/>
        <v>14.643999999999998</v>
      </c>
      <c r="E51" s="3">
        <f t="shared" si="4"/>
        <v>57.380445000000023</v>
      </c>
      <c r="F51" s="3">
        <f t="shared" si="4"/>
        <v>98.525000000000034</v>
      </c>
      <c r="G51" s="3">
        <f t="shared" si="4"/>
        <v>149.46100000000001</v>
      </c>
      <c r="H51" s="3">
        <f t="shared" si="4"/>
        <v>1018.3520000000001</v>
      </c>
      <c r="I51" s="3">
        <f t="shared" si="4"/>
        <v>826.91300000000012</v>
      </c>
      <c r="J51" s="4"/>
    </row>
    <row r="52" spans="2:10" ht="6" customHeight="1">
      <c r="B52" s="15"/>
      <c r="C52" s="19"/>
      <c r="D52" s="19"/>
      <c r="E52" s="19"/>
      <c r="F52" s="19"/>
      <c r="G52" s="19"/>
      <c r="H52" s="19"/>
      <c r="I52" s="19"/>
    </row>
    <row r="53" spans="2:10" ht="15.75" thickBot="1">
      <c r="B53" s="17" t="s">
        <v>132</v>
      </c>
      <c r="C53" s="6">
        <f t="shared" ref="C53:I53" si="5">C20+C30+C36+C51+C74</f>
        <v>60.720000000000006</v>
      </c>
      <c r="D53" s="6">
        <f t="shared" si="5"/>
        <v>29.673999999999999</v>
      </c>
      <c r="E53" s="6">
        <f t="shared" si="5"/>
        <v>122.20689600000001</v>
      </c>
      <c r="F53" s="6">
        <f t="shared" si="5"/>
        <v>160.80000000000004</v>
      </c>
      <c r="G53" s="6">
        <f t="shared" si="5"/>
        <v>230.46300000000002</v>
      </c>
      <c r="H53" s="6">
        <f t="shared" si="5"/>
        <v>1240.0600000000002</v>
      </c>
      <c r="I53" s="6">
        <f t="shared" si="5"/>
        <v>988.11900000000014</v>
      </c>
      <c r="J53" s="4"/>
    </row>
    <row r="54" spans="2:10" ht="6" customHeight="1" thickTop="1">
      <c r="B54" s="15"/>
      <c r="C54" s="16"/>
      <c r="D54" s="16"/>
      <c r="E54" s="16"/>
      <c r="F54" s="16"/>
      <c r="G54" s="16"/>
      <c r="H54" s="16"/>
      <c r="I54" s="16"/>
    </row>
    <row r="55" spans="2:10" ht="15">
      <c r="B55" s="15" t="s">
        <v>133</v>
      </c>
      <c r="C55" s="16">
        <v>4.1909999999999998</v>
      </c>
      <c r="D55" s="16">
        <v>8.4629999999999992</v>
      </c>
      <c r="E55" s="16">
        <v>8.0574890000000003</v>
      </c>
      <c r="F55" s="16">
        <v>9.7840000000000007</v>
      </c>
      <c r="G55" s="16">
        <v>15.566000000000001</v>
      </c>
      <c r="H55" s="16">
        <v>21.402000000000001</v>
      </c>
      <c r="I55" s="16">
        <v>27.337</v>
      </c>
    </row>
    <row r="56" spans="2:10" ht="15">
      <c r="B56" s="15" t="s">
        <v>134</v>
      </c>
      <c r="C56" s="16">
        <v>0.1</v>
      </c>
      <c r="D56" s="16">
        <v>0.97599999999999998</v>
      </c>
      <c r="E56" s="16">
        <v>0.99505699999999997</v>
      </c>
      <c r="F56" s="16">
        <v>0.82</v>
      </c>
      <c r="G56" s="16">
        <v>1.516</v>
      </c>
      <c r="H56" s="16">
        <v>5.1509999999999998</v>
      </c>
      <c r="I56" s="16">
        <v>5.18</v>
      </c>
    </row>
    <row r="57" spans="2:10" ht="15">
      <c r="B57" s="15" t="s">
        <v>135</v>
      </c>
      <c r="C57" s="16"/>
      <c r="D57" s="16"/>
      <c r="E57" s="16"/>
      <c r="F57" s="16">
        <v>0.49399999999999999</v>
      </c>
      <c r="G57" s="16">
        <v>0.496</v>
      </c>
      <c r="H57" s="16">
        <v>0.626</v>
      </c>
      <c r="I57" s="16">
        <v>0.495</v>
      </c>
    </row>
    <row r="58" spans="2:10" ht="15">
      <c r="B58" s="15" t="s">
        <v>136</v>
      </c>
      <c r="C58" s="16">
        <v>6.7000000000000004E-2</v>
      </c>
      <c r="D58" s="16">
        <v>2.4E-2</v>
      </c>
      <c r="E58" s="16">
        <v>9.6893000000000007E-2</v>
      </c>
      <c r="F58" s="16">
        <v>1.004</v>
      </c>
      <c r="G58" s="16">
        <v>1.19</v>
      </c>
      <c r="H58" s="16">
        <v>2.2970000000000002</v>
      </c>
      <c r="I58" s="16">
        <v>4.5960000000000001</v>
      </c>
    </row>
    <row r="59" spans="2:10" ht="15">
      <c r="B59" s="17" t="s">
        <v>137</v>
      </c>
      <c r="C59" s="3">
        <f t="shared" ref="C59:I59" si="6">SUM(C55:C58)</f>
        <v>4.3579999999999997</v>
      </c>
      <c r="D59" s="3">
        <f t="shared" si="6"/>
        <v>9.4629999999999992</v>
      </c>
      <c r="E59" s="3">
        <f t="shared" si="6"/>
        <v>9.1494389999999992</v>
      </c>
      <c r="F59" s="3">
        <f t="shared" si="6"/>
        <v>12.102</v>
      </c>
      <c r="G59" s="3">
        <f t="shared" si="6"/>
        <v>18.768000000000001</v>
      </c>
      <c r="H59" s="3">
        <f t="shared" si="6"/>
        <v>29.476000000000003</v>
      </c>
      <c r="I59" s="3">
        <f t="shared" si="6"/>
        <v>37.60799999999999</v>
      </c>
      <c r="J59" s="4"/>
    </row>
    <row r="60" spans="2:10" ht="6" customHeight="1">
      <c r="B60" s="15"/>
      <c r="C60" s="16"/>
      <c r="D60" s="16"/>
      <c r="E60" s="16"/>
      <c r="F60" s="16"/>
      <c r="G60" s="16"/>
      <c r="H60" s="16"/>
      <c r="I60" s="16"/>
    </row>
    <row r="61" spans="2:10" ht="15">
      <c r="B61" s="15" t="s">
        <v>138</v>
      </c>
      <c r="C61" s="16"/>
      <c r="D61" s="16"/>
      <c r="E61" s="16"/>
      <c r="F61" s="16"/>
      <c r="G61" s="16"/>
      <c r="H61" s="16"/>
      <c r="I61" s="16"/>
    </row>
    <row r="62" spans="2:10" ht="15">
      <c r="B62" s="15" t="s">
        <v>139</v>
      </c>
      <c r="C62" s="2"/>
      <c r="D62" s="2"/>
      <c r="E62" s="2"/>
      <c r="F62" s="2"/>
      <c r="G62" s="2"/>
      <c r="H62" s="2"/>
      <c r="I62" s="2"/>
    </row>
    <row r="63" spans="2:10" ht="15">
      <c r="B63" s="22" t="s">
        <v>140</v>
      </c>
      <c r="C63" s="20">
        <f>SUM(C61:C62)</f>
        <v>0</v>
      </c>
      <c r="D63" s="20">
        <f t="shared" ref="D63:I63" si="7">SUM(D61:D62)</f>
        <v>0</v>
      </c>
      <c r="E63" s="20">
        <f t="shared" si="7"/>
        <v>0</v>
      </c>
      <c r="F63" s="20">
        <f t="shared" si="7"/>
        <v>0</v>
      </c>
      <c r="G63" s="20">
        <f t="shared" si="7"/>
        <v>0</v>
      </c>
      <c r="H63" s="20">
        <f t="shared" si="7"/>
        <v>0</v>
      </c>
      <c r="I63" s="20">
        <f t="shared" si="7"/>
        <v>0</v>
      </c>
      <c r="J63" s="4"/>
    </row>
    <row r="64" spans="2:10" ht="6" customHeight="1">
      <c r="B64" s="15"/>
      <c r="C64" s="16"/>
      <c r="D64" s="16"/>
      <c r="E64" s="16"/>
      <c r="F64" s="16"/>
      <c r="G64" s="16"/>
      <c r="H64" s="16"/>
      <c r="I64" s="16"/>
    </row>
    <row r="65" spans="2:10" ht="15">
      <c r="B65" s="15" t="s">
        <v>141</v>
      </c>
      <c r="C65" s="16"/>
      <c r="D65" s="16"/>
      <c r="E65" s="16"/>
      <c r="F65" s="16"/>
      <c r="G65" s="16"/>
      <c r="H65" s="16"/>
      <c r="I65" s="16"/>
    </row>
    <row r="66" spans="2:10" ht="15">
      <c r="B66" s="15" t="s">
        <v>142</v>
      </c>
      <c r="C66" s="2"/>
      <c r="D66" s="2"/>
      <c r="E66" s="2"/>
      <c r="F66" s="2"/>
      <c r="G66" s="2"/>
      <c r="H66" s="2"/>
      <c r="I66" s="2"/>
    </row>
    <row r="67" spans="2:10" ht="15">
      <c r="B67" s="22" t="s">
        <v>143</v>
      </c>
      <c r="C67" s="20">
        <f>SUM(C65:C66)</f>
        <v>0</v>
      </c>
      <c r="D67" s="20">
        <f t="shared" ref="D67:I67" si="8">SUM(D65:D66)</f>
        <v>0</v>
      </c>
      <c r="E67" s="20">
        <f t="shared" si="8"/>
        <v>0</v>
      </c>
      <c r="F67" s="20">
        <f t="shared" si="8"/>
        <v>0</v>
      </c>
      <c r="G67" s="20">
        <f t="shared" si="8"/>
        <v>0</v>
      </c>
      <c r="H67" s="20">
        <f t="shared" si="8"/>
        <v>0</v>
      </c>
      <c r="I67" s="20">
        <f t="shared" si="8"/>
        <v>0</v>
      </c>
      <c r="J67" s="4"/>
    </row>
    <row r="68" spans="2:10" ht="6" customHeight="1">
      <c r="B68" s="15"/>
      <c r="C68" s="16"/>
      <c r="D68" s="16"/>
      <c r="E68" s="16"/>
      <c r="F68" s="16"/>
      <c r="G68" s="16"/>
      <c r="H68" s="16"/>
      <c r="I68" s="16"/>
    </row>
    <row r="69" spans="2:10" ht="15">
      <c r="B69" s="15" t="s">
        <v>144</v>
      </c>
      <c r="C69" s="16"/>
      <c r="D69" s="16"/>
      <c r="E69" s="16"/>
      <c r="F69" s="16"/>
      <c r="G69" s="16"/>
      <c r="H69" s="16"/>
      <c r="I69" s="16"/>
    </row>
    <row r="70" spans="2:10" ht="15">
      <c r="B70" s="15" t="s">
        <v>145</v>
      </c>
      <c r="C70" s="16"/>
      <c r="D70" s="16"/>
      <c r="E70" s="16"/>
      <c r="F70" s="16"/>
      <c r="G70" s="16"/>
      <c r="H70" s="16"/>
      <c r="I70" s="16"/>
    </row>
    <row r="71" spans="2:10" ht="15">
      <c r="B71" s="15" t="s">
        <v>146</v>
      </c>
      <c r="C71" s="16"/>
      <c r="D71" s="16"/>
      <c r="E71" s="16"/>
      <c r="F71" s="16"/>
      <c r="G71" s="16"/>
      <c r="H71" s="16"/>
      <c r="I71" s="16"/>
    </row>
    <row r="72" spans="2:10" ht="15">
      <c r="B72" s="15" t="s">
        <v>147</v>
      </c>
      <c r="C72" s="16"/>
      <c r="D72" s="16"/>
      <c r="E72" s="16"/>
      <c r="F72" s="16"/>
      <c r="G72" s="16"/>
      <c r="H72" s="16"/>
      <c r="I72" s="16"/>
    </row>
    <row r="73" spans="2:10" ht="15">
      <c r="B73" s="15" t="s">
        <v>148</v>
      </c>
      <c r="C73" s="2"/>
      <c r="D73" s="2"/>
      <c r="E73" s="2"/>
      <c r="F73" s="2"/>
      <c r="G73" s="2"/>
      <c r="H73" s="2"/>
      <c r="I73" s="2"/>
    </row>
    <row r="74" spans="2:10" ht="15">
      <c r="B74" s="23" t="s">
        <v>149</v>
      </c>
      <c r="C74" s="3">
        <f>SUM(C63,C67,C69:C73)</f>
        <v>0</v>
      </c>
      <c r="D74" s="3">
        <f t="shared" ref="D74:I74" si="9">SUM(D63,D67,D69:D73)</f>
        <v>0</v>
      </c>
      <c r="E74" s="3">
        <f t="shared" si="9"/>
        <v>0</v>
      </c>
      <c r="F74" s="3">
        <f t="shared" si="9"/>
        <v>0</v>
      </c>
      <c r="G74" s="3">
        <f t="shared" si="9"/>
        <v>0</v>
      </c>
      <c r="H74" s="3">
        <f t="shared" si="9"/>
        <v>0</v>
      </c>
      <c r="I74" s="3">
        <f t="shared" si="9"/>
        <v>0</v>
      </c>
      <c r="J74" s="4"/>
    </row>
    <row r="75" spans="2:10" ht="6" customHeight="1">
      <c r="B75" s="15"/>
      <c r="C75" s="16"/>
      <c r="D75" s="16"/>
      <c r="E75" s="16"/>
      <c r="F75" s="16"/>
      <c r="G75" s="16"/>
      <c r="H75" s="16"/>
      <c r="I75" s="16"/>
    </row>
    <row r="76" spans="2:10" ht="15">
      <c r="B76" s="15" t="s">
        <v>150</v>
      </c>
      <c r="C76" s="16">
        <v>0.48399999999999999</v>
      </c>
      <c r="D76" s="16">
        <v>0.874</v>
      </c>
      <c r="E76" s="16">
        <v>1.0513999999999999</v>
      </c>
      <c r="F76" s="16">
        <v>1.726</v>
      </c>
      <c r="G76" s="16">
        <v>2.0169999999999999</v>
      </c>
      <c r="H76" s="16">
        <v>2.2090000000000001</v>
      </c>
      <c r="I76" s="16">
        <v>4.5010000000000003</v>
      </c>
    </row>
    <row r="77" spans="2:10" ht="15">
      <c r="B77" s="15" t="s">
        <v>151</v>
      </c>
      <c r="C77" s="16">
        <v>0.218</v>
      </c>
      <c r="D77" s="16">
        <v>0.20300000000000001</v>
      </c>
      <c r="E77" s="16">
        <v>6.6172999999999996E-2</v>
      </c>
      <c r="F77" s="16">
        <v>0.443</v>
      </c>
      <c r="G77" s="16">
        <v>1.0820000000000001</v>
      </c>
      <c r="H77" s="16">
        <v>2.9390000000000001</v>
      </c>
      <c r="I77" s="16">
        <v>5.5250000000000004</v>
      </c>
    </row>
    <row r="78" spans="2:10" ht="15">
      <c r="B78" s="15" t="s">
        <v>50</v>
      </c>
      <c r="C78" s="2"/>
      <c r="D78" s="2">
        <v>4.4999999999999998E-2</v>
      </c>
      <c r="E78" s="2"/>
      <c r="F78" s="2"/>
      <c r="G78" s="2"/>
      <c r="H78" s="2"/>
      <c r="I78" s="2"/>
    </row>
    <row r="79" spans="2:10" ht="15">
      <c r="B79" s="23" t="s">
        <v>152</v>
      </c>
      <c r="C79" s="3">
        <f>SUM(C76:C78)</f>
        <v>0.70199999999999996</v>
      </c>
      <c r="D79" s="3">
        <f t="shared" ref="D79:I79" si="10">SUM(D76:D78)</f>
        <v>1.1219999999999999</v>
      </c>
      <c r="E79" s="3">
        <f t="shared" si="10"/>
        <v>1.1175729999999999</v>
      </c>
      <c r="F79" s="3">
        <f t="shared" si="10"/>
        <v>2.169</v>
      </c>
      <c r="G79" s="3">
        <f t="shared" si="10"/>
        <v>3.0990000000000002</v>
      </c>
      <c r="H79" s="3">
        <f t="shared" si="10"/>
        <v>5.1479999999999997</v>
      </c>
      <c r="I79" s="3">
        <f t="shared" si="10"/>
        <v>10.026</v>
      </c>
      <c r="J79" s="4"/>
    </row>
    <row r="80" spans="2:10" ht="6" customHeight="1">
      <c r="B80" s="15"/>
      <c r="C80" s="16"/>
      <c r="D80" s="16"/>
      <c r="E80" s="16"/>
      <c r="F80" s="16"/>
      <c r="G80" s="16"/>
      <c r="H80" s="16"/>
      <c r="I80" s="16"/>
    </row>
    <row r="81" spans="2:10" ht="15">
      <c r="B81" s="15" t="s">
        <v>153</v>
      </c>
      <c r="C81" s="16">
        <v>0.20699999999999999</v>
      </c>
      <c r="D81" s="16">
        <v>0.59299999999999997</v>
      </c>
      <c r="E81" s="16"/>
      <c r="F81" s="16"/>
      <c r="G81" s="16"/>
      <c r="H81" s="16"/>
      <c r="I81" s="16">
        <v>2.593</v>
      </c>
    </row>
    <row r="82" spans="2:10" ht="15">
      <c r="B82" s="15" t="s">
        <v>154</v>
      </c>
      <c r="C82" s="16">
        <v>8.5999999999999993E-2</v>
      </c>
      <c r="D82" s="16">
        <v>0.14299999999999999</v>
      </c>
      <c r="E82" s="16">
        <v>0.25328299999999998</v>
      </c>
      <c r="F82" s="16">
        <v>0.157</v>
      </c>
      <c r="G82" s="16">
        <v>0.35199999999999998</v>
      </c>
      <c r="H82" s="16">
        <v>0.57099999999999995</v>
      </c>
      <c r="I82" s="16">
        <v>0.97099999999999997</v>
      </c>
    </row>
    <row r="83" spans="2:10" ht="15">
      <c r="B83" s="15" t="s">
        <v>155</v>
      </c>
      <c r="C83" s="16">
        <v>3.7090000000000001</v>
      </c>
      <c r="D83" s="16">
        <v>6.7629999999999999</v>
      </c>
      <c r="E83" s="16">
        <v>8.9889550000000007</v>
      </c>
      <c r="F83" s="16">
        <v>10.566000000000001</v>
      </c>
      <c r="G83" s="16">
        <v>7.9610000000000003</v>
      </c>
      <c r="H83" s="16">
        <v>17.501999999999999</v>
      </c>
      <c r="I83" s="16">
        <v>43.521999999999998</v>
      </c>
    </row>
    <row r="84" spans="2:10" ht="15">
      <c r="B84" s="15" t="s">
        <v>156</v>
      </c>
      <c r="C84" s="16">
        <v>0.36</v>
      </c>
      <c r="D84" s="16">
        <v>0.55700000000000005</v>
      </c>
      <c r="E84" s="16">
        <v>0.63100000000000001</v>
      </c>
      <c r="F84" s="16">
        <v>0.45700000000000002</v>
      </c>
      <c r="G84" s="16">
        <v>0.40500000000000003</v>
      </c>
      <c r="H84" s="16">
        <v>0.53500000000000003</v>
      </c>
      <c r="I84" s="16">
        <v>0.51500000000000001</v>
      </c>
    </row>
    <row r="85" spans="2:10" ht="15">
      <c r="B85" s="15" t="s">
        <v>157</v>
      </c>
      <c r="C85" s="16"/>
      <c r="D85" s="16"/>
      <c r="E85" s="16"/>
      <c r="F85" s="16">
        <v>0.17</v>
      </c>
      <c r="G85" s="16">
        <v>0.19900000000000001</v>
      </c>
      <c r="H85" s="16">
        <v>0.20300000000000001</v>
      </c>
      <c r="I85" s="16">
        <v>0.20300000000000001</v>
      </c>
    </row>
    <row r="86" spans="2:10" ht="15">
      <c r="B86" s="15" t="s">
        <v>158</v>
      </c>
      <c r="C86" s="16"/>
      <c r="D86" s="16"/>
      <c r="E86" s="16"/>
      <c r="F86" s="16"/>
      <c r="G86" s="16"/>
      <c r="H86" s="16"/>
      <c r="I86" s="16"/>
    </row>
    <row r="87" spans="2:10" ht="15">
      <c r="B87" s="15" t="s">
        <v>159</v>
      </c>
      <c r="C87" s="16"/>
      <c r="D87" s="16"/>
      <c r="E87" s="16"/>
      <c r="F87" s="16"/>
      <c r="G87" s="16"/>
      <c r="H87" s="16"/>
      <c r="I87" s="16"/>
    </row>
    <row r="88" spans="2:10" ht="15">
      <c r="B88" s="15" t="s">
        <v>160</v>
      </c>
      <c r="C88" s="2"/>
      <c r="D88" s="2"/>
      <c r="E88" s="2"/>
      <c r="F88" s="2">
        <v>0.115</v>
      </c>
      <c r="G88" s="2">
        <v>0.185</v>
      </c>
      <c r="H88" s="2">
        <v>0.16800000000000001</v>
      </c>
      <c r="I88" s="2">
        <v>0.53300000000000003</v>
      </c>
    </row>
    <row r="89" spans="2:10" ht="15">
      <c r="B89" s="23" t="s">
        <v>50</v>
      </c>
      <c r="C89" s="3">
        <f>SUM(C84:C88)</f>
        <v>0.36</v>
      </c>
      <c r="D89" s="3">
        <f t="shared" ref="D89:I89" si="11">SUM(D84:D88)</f>
        <v>0.55700000000000005</v>
      </c>
      <c r="E89" s="3">
        <f t="shared" si="11"/>
        <v>0.63100000000000001</v>
      </c>
      <c r="F89" s="3">
        <f t="shared" si="11"/>
        <v>0.74199999999999999</v>
      </c>
      <c r="G89" s="3">
        <f t="shared" si="11"/>
        <v>0.78900000000000015</v>
      </c>
      <c r="H89" s="3">
        <f t="shared" si="11"/>
        <v>0.90600000000000003</v>
      </c>
      <c r="I89" s="3">
        <f t="shared" si="11"/>
        <v>1.2509999999999999</v>
      </c>
      <c r="J89" s="4"/>
    </row>
    <row r="90" spans="2:10" ht="6" customHeight="1">
      <c r="B90" s="15"/>
      <c r="C90" s="16"/>
      <c r="D90" s="16"/>
      <c r="E90" s="16"/>
      <c r="F90" s="16"/>
      <c r="G90" s="16"/>
      <c r="H90" s="16"/>
      <c r="I90" s="16"/>
    </row>
    <row r="91" spans="2:10" ht="15">
      <c r="B91" s="15" t="s">
        <v>128</v>
      </c>
      <c r="C91" s="16"/>
      <c r="D91" s="16"/>
      <c r="E91" s="16"/>
      <c r="F91" s="16"/>
      <c r="G91" s="16"/>
      <c r="H91" s="16"/>
      <c r="I91" s="16"/>
    </row>
    <row r="92" spans="2:10" ht="15">
      <c r="B92" s="15" t="s">
        <v>161</v>
      </c>
      <c r="C92" s="16"/>
      <c r="D92" s="16"/>
      <c r="E92" s="16"/>
      <c r="F92" s="16"/>
      <c r="G92" s="16"/>
      <c r="H92" s="16"/>
      <c r="I92" s="16"/>
    </row>
    <row r="93" spans="2:10" ht="15">
      <c r="B93" s="15" t="s">
        <v>162</v>
      </c>
      <c r="C93" s="16">
        <v>2.5000000000000001E-2</v>
      </c>
      <c r="D93" s="16">
        <v>0.17199999999999999</v>
      </c>
      <c r="E93" s="16">
        <v>0.11602700000000001</v>
      </c>
      <c r="F93" s="16">
        <v>3.3000000000000002E-2</v>
      </c>
      <c r="G93" s="16"/>
      <c r="H93" s="16">
        <v>1.7000000000000001E-2</v>
      </c>
      <c r="I93" s="16">
        <v>0.3</v>
      </c>
    </row>
    <row r="94" spans="2:10" ht="15">
      <c r="B94" s="15" t="s">
        <v>127</v>
      </c>
      <c r="C94" s="16"/>
      <c r="D94" s="16"/>
      <c r="E94" s="16"/>
      <c r="F94" s="16"/>
      <c r="G94" s="16"/>
      <c r="H94" s="16"/>
      <c r="I94" s="16"/>
    </row>
    <row r="95" spans="2:10" ht="15">
      <c r="B95" s="15" t="s">
        <v>163</v>
      </c>
      <c r="C95" s="16"/>
      <c r="D95" s="16"/>
      <c r="E95" s="16"/>
      <c r="F95" s="16"/>
      <c r="G95" s="16"/>
      <c r="H95" s="16"/>
      <c r="I95" s="16"/>
    </row>
    <row r="96" spans="2:10" ht="15">
      <c r="B96" s="15" t="s">
        <v>164</v>
      </c>
      <c r="C96" s="16">
        <v>6</v>
      </c>
      <c r="D96" s="16">
        <v>6.75</v>
      </c>
      <c r="E96" s="16">
        <v>7.2</v>
      </c>
      <c r="F96" s="16">
        <v>7.9379999999999997</v>
      </c>
      <c r="G96" s="16">
        <v>8.5449999999999999</v>
      </c>
      <c r="H96" s="16">
        <v>10.112</v>
      </c>
      <c r="I96" s="16">
        <v>8.0120000000000005</v>
      </c>
    </row>
    <row r="97" spans="2:10" ht="15">
      <c r="B97" s="15" t="s">
        <v>165</v>
      </c>
      <c r="C97" s="16">
        <v>0.78800000000000003</v>
      </c>
      <c r="D97" s="16">
        <v>1.4530000000000001</v>
      </c>
      <c r="E97" s="16">
        <v>6.4577799999999996</v>
      </c>
      <c r="F97" s="16">
        <v>1.085</v>
      </c>
      <c r="G97" s="16">
        <v>0.94799999999999995</v>
      </c>
      <c r="H97" s="16">
        <v>0.98299999999999998</v>
      </c>
      <c r="I97" s="16">
        <v>5.6790000000000003</v>
      </c>
    </row>
    <row r="98" spans="2:10" ht="15">
      <c r="B98" s="15" t="s">
        <v>166</v>
      </c>
      <c r="C98" s="16"/>
      <c r="D98" s="16"/>
      <c r="E98" s="16"/>
      <c r="F98" s="16"/>
      <c r="G98" s="16"/>
      <c r="H98" s="16"/>
      <c r="I98" s="16"/>
    </row>
    <row r="99" spans="2:10" ht="15">
      <c r="B99" s="15" t="s">
        <v>167</v>
      </c>
      <c r="C99" s="16"/>
      <c r="D99" s="16"/>
      <c r="E99" s="16"/>
      <c r="F99" s="16"/>
      <c r="G99" s="16"/>
      <c r="H99" s="16"/>
      <c r="I99" s="16"/>
    </row>
    <row r="100" spans="2:10" ht="15">
      <c r="B100" s="15" t="s">
        <v>168</v>
      </c>
      <c r="C100" s="16"/>
      <c r="D100" s="16"/>
      <c r="E100" s="16"/>
      <c r="F100" s="16"/>
      <c r="G100" s="16"/>
      <c r="H100" s="16"/>
      <c r="I100" s="16"/>
    </row>
    <row r="101" spans="2:10" ht="15">
      <c r="B101" s="15" t="s">
        <v>169</v>
      </c>
      <c r="C101" s="16"/>
      <c r="D101" s="16"/>
      <c r="E101" s="16"/>
      <c r="F101" s="16"/>
      <c r="G101" s="16"/>
      <c r="H101" s="16"/>
      <c r="I101" s="16"/>
    </row>
    <row r="102" spans="2:10" ht="15">
      <c r="B102" s="15" t="s">
        <v>170</v>
      </c>
      <c r="C102" s="16"/>
      <c r="D102" s="16"/>
      <c r="E102" s="16"/>
      <c r="F102" s="16"/>
      <c r="G102" s="16"/>
      <c r="H102" s="16"/>
      <c r="I102" s="16"/>
    </row>
    <row r="103" spans="2:10" ht="15">
      <c r="B103" s="15" t="s">
        <v>171</v>
      </c>
      <c r="C103" s="16">
        <v>0.53200000000000003</v>
      </c>
      <c r="D103" s="16">
        <v>0.32400000000000001</v>
      </c>
      <c r="E103" s="16">
        <v>2.6045769999999999</v>
      </c>
      <c r="F103" s="16">
        <v>4.008</v>
      </c>
      <c r="G103" s="16">
        <v>3.359</v>
      </c>
      <c r="H103" s="16">
        <v>5.4189999999999996</v>
      </c>
      <c r="I103" s="16">
        <v>9.7789999999999999</v>
      </c>
    </row>
    <row r="104" spans="2:10" ht="15">
      <c r="B104" s="15" t="s">
        <v>172</v>
      </c>
      <c r="C104" s="16">
        <v>1.1659999999999999</v>
      </c>
      <c r="D104" s="16">
        <v>2.1619999999999999</v>
      </c>
      <c r="E104" s="16">
        <v>1.866126</v>
      </c>
      <c r="F104" s="16">
        <v>1.4950000000000001</v>
      </c>
      <c r="G104" s="16">
        <v>3.8490000000000002</v>
      </c>
      <c r="H104" s="16">
        <v>13.683</v>
      </c>
      <c r="I104" s="16">
        <v>16.404</v>
      </c>
    </row>
    <row r="105" spans="2:10" ht="15">
      <c r="B105" s="15" t="s">
        <v>154</v>
      </c>
      <c r="C105" s="2"/>
      <c r="D105" s="2"/>
      <c r="E105" s="2"/>
      <c r="F105" s="2"/>
      <c r="G105" s="2"/>
      <c r="H105" s="2"/>
      <c r="I105" s="2"/>
    </row>
    <row r="106" spans="2:10" ht="15">
      <c r="B106" s="17" t="s">
        <v>173</v>
      </c>
      <c r="C106" s="3">
        <f>SUM(C79,C81:C83,C91:C105,C89)</f>
        <v>13.574999999999999</v>
      </c>
      <c r="D106" s="3">
        <f t="shared" ref="D106:I106" si="12">SUM(D79,D81:D83,D91:D105,D89)</f>
        <v>20.039000000000001</v>
      </c>
      <c r="E106" s="3">
        <f t="shared" si="12"/>
        <v>29.235321000000003</v>
      </c>
      <c r="F106" s="3">
        <f t="shared" si="12"/>
        <v>28.193000000000001</v>
      </c>
      <c r="G106" s="3">
        <f t="shared" si="12"/>
        <v>28.902000000000005</v>
      </c>
      <c r="H106" s="3">
        <f t="shared" si="12"/>
        <v>54.340999999999987</v>
      </c>
      <c r="I106" s="3">
        <f t="shared" si="12"/>
        <v>98.536999999999992</v>
      </c>
      <c r="J106" s="4"/>
    </row>
    <row r="107" spans="2:10" ht="6" customHeight="1">
      <c r="B107" s="15"/>
      <c r="C107" s="16"/>
      <c r="D107" s="16"/>
      <c r="E107" s="16"/>
      <c r="F107" s="16"/>
      <c r="G107" s="16"/>
      <c r="H107" s="16"/>
      <c r="I107" s="16"/>
    </row>
    <row r="108" spans="2:10" ht="15">
      <c r="B108" s="15" t="s">
        <v>174</v>
      </c>
      <c r="C108" s="16"/>
      <c r="D108" s="16"/>
      <c r="E108" s="16"/>
      <c r="F108" s="16"/>
      <c r="G108" s="16"/>
      <c r="H108" s="16"/>
      <c r="I108" s="16"/>
    </row>
    <row r="109" spans="2:10" ht="15">
      <c r="B109" s="15" t="s">
        <v>175</v>
      </c>
      <c r="C109" s="16">
        <v>0.54300000000000004</v>
      </c>
      <c r="D109" s="16">
        <v>0.223</v>
      </c>
      <c r="E109" s="16">
        <v>0.27650200000000003</v>
      </c>
      <c r="F109" s="16">
        <v>0.16400000000000001</v>
      </c>
      <c r="G109" s="16">
        <v>0.28699999999999998</v>
      </c>
      <c r="H109" s="16">
        <v>1.357</v>
      </c>
      <c r="I109" s="16">
        <v>4.0469999999999997</v>
      </c>
    </row>
    <row r="110" spans="2:10" ht="15">
      <c r="B110" s="15" t="s">
        <v>176</v>
      </c>
      <c r="C110" s="16">
        <v>0.04</v>
      </c>
      <c r="D110" s="16"/>
      <c r="E110" s="16"/>
      <c r="F110" s="16"/>
      <c r="G110" s="16"/>
      <c r="H110" s="16">
        <v>8.3000000000000004E-2</v>
      </c>
      <c r="I110" s="16"/>
    </row>
    <row r="111" spans="2:10" ht="15">
      <c r="B111" s="15" t="s">
        <v>177</v>
      </c>
      <c r="C111" s="16"/>
      <c r="D111" s="16"/>
      <c r="E111" s="16"/>
      <c r="F111" s="16"/>
      <c r="G111" s="16"/>
      <c r="H111" s="16"/>
      <c r="I111" s="16"/>
    </row>
    <row r="112" spans="2:10" ht="15">
      <c r="B112" s="15" t="s">
        <v>178</v>
      </c>
      <c r="C112" s="16">
        <v>0.05</v>
      </c>
      <c r="D112" s="16"/>
      <c r="E112" s="16"/>
      <c r="F112" s="16"/>
      <c r="G112" s="16"/>
      <c r="H112" s="16"/>
      <c r="I112" s="16"/>
    </row>
    <row r="113" spans="2:10" ht="15">
      <c r="B113" s="15" t="s">
        <v>179</v>
      </c>
      <c r="C113" s="16"/>
      <c r="D113" s="16"/>
      <c r="E113" s="16">
        <v>0.62364200000000003</v>
      </c>
      <c r="F113" s="16"/>
      <c r="G113" s="16"/>
      <c r="H113" s="16"/>
      <c r="I113" s="16"/>
    </row>
    <row r="114" spans="2:10" ht="15">
      <c r="B114" s="15" t="s">
        <v>180</v>
      </c>
      <c r="C114" s="16">
        <v>9.4E-2</v>
      </c>
      <c r="D114" s="16">
        <v>0.24199999999999999</v>
      </c>
      <c r="E114" s="16"/>
      <c r="F114" s="16"/>
      <c r="G114" s="16"/>
      <c r="H114" s="16"/>
      <c r="I114" s="16"/>
    </row>
    <row r="115" spans="2:10" ht="15">
      <c r="B115" s="17" t="s">
        <v>181</v>
      </c>
      <c r="C115" s="3">
        <f t="shared" ref="C115:I115" si="13">SUM(C108:C114)</f>
        <v>0.72700000000000009</v>
      </c>
      <c r="D115" s="3">
        <f t="shared" si="13"/>
        <v>0.46499999999999997</v>
      </c>
      <c r="E115" s="3">
        <f t="shared" si="13"/>
        <v>0.90014400000000006</v>
      </c>
      <c r="F115" s="3">
        <f t="shared" si="13"/>
        <v>0.16400000000000001</v>
      </c>
      <c r="G115" s="3">
        <f t="shared" si="13"/>
        <v>0.28699999999999998</v>
      </c>
      <c r="H115" s="3">
        <f t="shared" si="13"/>
        <v>1.44</v>
      </c>
      <c r="I115" s="3">
        <f t="shared" si="13"/>
        <v>4.0469999999999997</v>
      </c>
      <c r="J115" s="4"/>
    </row>
    <row r="116" spans="2:10" ht="6" customHeight="1">
      <c r="B116" s="15"/>
      <c r="C116" s="16"/>
      <c r="D116" s="16"/>
      <c r="E116" s="16"/>
      <c r="F116" s="16"/>
      <c r="G116" s="16"/>
      <c r="H116" s="16"/>
      <c r="I116" s="16"/>
    </row>
    <row r="117" spans="2:10" ht="15">
      <c r="B117" s="15" t="s">
        <v>182</v>
      </c>
      <c r="C117" s="16"/>
      <c r="D117" s="16">
        <v>0.13300000000000001</v>
      </c>
      <c r="E117" s="16"/>
      <c r="F117" s="16"/>
      <c r="G117" s="16"/>
      <c r="H117" s="16"/>
      <c r="I117" s="16"/>
    </row>
    <row r="118" spans="2:10" ht="15">
      <c r="B118" s="15" t="s">
        <v>183</v>
      </c>
      <c r="C118" s="16"/>
      <c r="D118" s="16"/>
      <c r="E118" s="16"/>
      <c r="F118" s="16"/>
      <c r="G118" s="16"/>
      <c r="H118" s="16"/>
      <c r="I118" s="16"/>
    </row>
    <row r="119" spans="2:10" ht="15">
      <c r="B119" s="15" t="s">
        <v>184</v>
      </c>
      <c r="C119" s="16"/>
      <c r="D119" s="16">
        <v>2.8130000000000002</v>
      </c>
      <c r="E119" s="16"/>
      <c r="F119" s="16"/>
      <c r="G119" s="16"/>
      <c r="H119" s="16"/>
      <c r="I119" s="16"/>
    </row>
    <row r="120" spans="2:10" ht="15">
      <c r="B120" s="15" t="s">
        <v>185</v>
      </c>
      <c r="C120" s="16"/>
      <c r="D120" s="16">
        <v>3.5000000000000003E-2</v>
      </c>
      <c r="E120" s="16"/>
      <c r="F120" s="16"/>
      <c r="G120" s="16"/>
      <c r="H120" s="16">
        <v>0.501</v>
      </c>
      <c r="I120" s="16">
        <v>2.246</v>
      </c>
    </row>
    <row r="121" spans="2:10" ht="15">
      <c r="B121" s="15" t="s">
        <v>186</v>
      </c>
      <c r="C121" s="16"/>
      <c r="D121" s="16"/>
      <c r="E121" s="16"/>
      <c r="F121" s="16"/>
      <c r="G121" s="16">
        <v>7.5170000000000003</v>
      </c>
      <c r="H121" s="16"/>
      <c r="I121" s="16"/>
    </row>
    <row r="122" spans="2:10" ht="15">
      <c r="B122" s="15" t="s">
        <v>187</v>
      </c>
      <c r="C122" s="16"/>
      <c r="D122" s="16"/>
      <c r="E122" s="16"/>
      <c r="F122" s="16">
        <v>2.5000000000000001E-2</v>
      </c>
      <c r="G122" s="16"/>
      <c r="H122" s="16"/>
      <c r="I122" s="16"/>
    </row>
    <row r="123" spans="2:10" ht="15">
      <c r="B123" s="15" t="s">
        <v>188</v>
      </c>
      <c r="C123" s="16">
        <v>1.0900000000000001</v>
      </c>
      <c r="D123" s="16"/>
      <c r="E123" s="16"/>
      <c r="F123" s="16"/>
      <c r="G123" s="16">
        <v>0.97399999999999998</v>
      </c>
      <c r="H123" s="16">
        <v>2.633</v>
      </c>
      <c r="I123" s="16">
        <v>6.52</v>
      </c>
    </row>
    <row r="124" spans="2:10" ht="15">
      <c r="B124" s="17" t="s">
        <v>189</v>
      </c>
      <c r="C124" s="3">
        <f t="shared" ref="C124:I124" si="14">SUM(C117:C123)</f>
        <v>1.0900000000000001</v>
      </c>
      <c r="D124" s="3">
        <f t="shared" si="14"/>
        <v>2.9810000000000003</v>
      </c>
      <c r="E124" s="3">
        <f t="shared" si="14"/>
        <v>0</v>
      </c>
      <c r="F124" s="3">
        <f t="shared" si="14"/>
        <v>2.5000000000000001E-2</v>
      </c>
      <c r="G124" s="3">
        <f t="shared" si="14"/>
        <v>8.4909999999999997</v>
      </c>
      <c r="H124" s="3">
        <f t="shared" si="14"/>
        <v>3.1339999999999999</v>
      </c>
      <c r="I124" s="3">
        <f t="shared" si="14"/>
        <v>8.766</v>
      </c>
      <c r="J124" s="4"/>
    </row>
    <row r="125" spans="2:10" ht="6" customHeight="1">
      <c r="B125" s="15"/>
      <c r="C125" s="16"/>
      <c r="D125" s="16"/>
      <c r="E125" s="16"/>
      <c r="F125" s="16"/>
      <c r="G125" s="16"/>
      <c r="H125" s="16"/>
      <c r="I125" s="16"/>
    </row>
    <row r="126" spans="2:10" ht="15">
      <c r="B126" s="15" t="s">
        <v>190</v>
      </c>
      <c r="C126" s="16"/>
      <c r="D126" s="16"/>
      <c r="E126" s="16"/>
      <c r="F126" s="16"/>
      <c r="G126" s="16"/>
      <c r="H126" s="16"/>
      <c r="I126" s="16"/>
    </row>
    <row r="127" spans="2:10" ht="6" customHeight="1">
      <c r="B127" s="15"/>
      <c r="C127" s="2"/>
      <c r="D127" s="2"/>
      <c r="E127" s="2"/>
      <c r="F127" s="2"/>
      <c r="G127" s="2"/>
      <c r="H127" s="2"/>
      <c r="I127" s="2"/>
    </row>
    <row r="128" spans="2:10" ht="15.75" thickBot="1">
      <c r="B128" s="17" t="s">
        <v>191</v>
      </c>
      <c r="C128" s="6">
        <f t="shared" ref="C128:I128" si="15">SUM(C53,C59,C106,C115,C124,C126)</f>
        <v>80.470000000000013</v>
      </c>
      <c r="D128" s="6">
        <f t="shared" si="15"/>
        <v>62.622000000000007</v>
      </c>
      <c r="E128" s="6">
        <f t="shared" si="15"/>
        <v>161.49180000000001</v>
      </c>
      <c r="F128" s="6">
        <f t="shared" si="15"/>
        <v>201.28400000000005</v>
      </c>
      <c r="G128" s="6">
        <f t="shared" si="15"/>
        <v>286.911</v>
      </c>
      <c r="H128" s="6">
        <f t="shared" si="15"/>
        <v>1328.4510000000002</v>
      </c>
      <c r="I128" s="6">
        <f t="shared" si="15"/>
        <v>1137.0770000000002</v>
      </c>
      <c r="J128" s="4"/>
    </row>
    <row r="129" spans="2:10" ht="6" customHeight="1" thickTop="1">
      <c r="B129" s="15"/>
      <c r="C129" s="16"/>
      <c r="D129" s="16"/>
      <c r="E129" s="16"/>
      <c r="F129" s="16"/>
      <c r="G129" s="16"/>
      <c r="H129" s="16"/>
      <c r="I129" s="16"/>
    </row>
    <row r="130" spans="2:10" ht="15">
      <c r="B130" s="17" t="s">
        <v>192</v>
      </c>
      <c r="C130" s="18">
        <f>'Revenue &amp; OI'!C11-C128</f>
        <v>25.538999999999987</v>
      </c>
      <c r="D130" s="18">
        <f>'Revenue &amp; OI'!D11-D128</f>
        <v>43.04999999999999</v>
      </c>
      <c r="E130" s="18">
        <f>'Revenue &amp; OI'!E11-E128</f>
        <v>77.596287999999987</v>
      </c>
      <c r="F130" s="18">
        <f>'Revenue &amp; OI'!F11-F128</f>
        <v>131.53799999999995</v>
      </c>
      <c r="G130" s="18">
        <f>'Revenue &amp; OI'!G11-G128</f>
        <v>324.15199999999999</v>
      </c>
      <c r="H130" s="18">
        <f>'Revenue &amp; OI'!H11-H128</f>
        <v>686.8449999999998</v>
      </c>
      <c r="I130" s="18">
        <f>'Revenue &amp; OI'!I11-I128</f>
        <v>498.75399999999968</v>
      </c>
      <c r="J130" s="4"/>
    </row>
    <row r="131" spans="2:10" ht="6" customHeight="1">
      <c r="B131" s="15"/>
      <c r="C131" s="16"/>
      <c r="D131" s="16"/>
      <c r="E131" s="16"/>
      <c r="F131" s="16"/>
      <c r="G131" s="16"/>
      <c r="H131" s="16"/>
      <c r="I131" s="16"/>
    </row>
    <row r="132" spans="2:10" ht="6" customHeight="1">
      <c r="B132" s="15"/>
      <c r="C132" s="2"/>
      <c r="D132" s="2"/>
      <c r="E132" s="2"/>
      <c r="F132" s="2"/>
      <c r="G132" s="2"/>
      <c r="H132" s="2"/>
      <c r="I132" s="2"/>
    </row>
    <row r="133" spans="2:10" ht="15.75" thickBot="1">
      <c r="B133" s="17" t="s">
        <v>193</v>
      </c>
      <c r="C133" s="6">
        <f>'Revenue &amp; OI'!C22+C130</f>
        <v>25.948999999999987</v>
      </c>
      <c r="D133" s="6">
        <f>'Revenue &amp; OI'!D22+D130</f>
        <v>43.329999999999991</v>
      </c>
      <c r="E133" s="6">
        <f>'Revenue &amp; OI'!E22+E130</f>
        <v>80.304117999999988</v>
      </c>
      <c r="F133" s="6">
        <f>'Revenue &amp; OI'!F22+F130</f>
        <v>132.87399999999997</v>
      </c>
      <c r="G133" s="6">
        <f>'Revenue &amp; OI'!G22+G130</f>
        <v>328.315</v>
      </c>
      <c r="H133" s="6">
        <f>'Revenue &amp; OI'!H22+H130</f>
        <v>700.66799999999978</v>
      </c>
      <c r="I133" s="6">
        <f>'Revenue &amp; OI'!I22+I130</f>
        <v>530.01099999999963</v>
      </c>
      <c r="J133" s="4"/>
    </row>
    <row r="134" spans="2:10" ht="6" customHeight="1" thickTop="1">
      <c r="B134" s="15"/>
      <c r="C134" s="16"/>
      <c r="D134" s="16"/>
      <c r="E134" s="16"/>
      <c r="F134" s="16"/>
      <c r="G134" s="16"/>
      <c r="H134" s="16"/>
      <c r="I134" s="16"/>
    </row>
    <row r="135" spans="2:10" ht="15">
      <c r="B135" s="15" t="s">
        <v>194</v>
      </c>
      <c r="C135" s="16"/>
      <c r="D135" s="16"/>
      <c r="E135" s="16"/>
      <c r="F135" s="16"/>
      <c r="G135" s="16"/>
      <c r="H135" s="16"/>
      <c r="I135" s="16"/>
    </row>
    <row r="136" spans="2:10" ht="15">
      <c r="B136" s="15" t="s">
        <v>195</v>
      </c>
      <c r="C136" s="16"/>
      <c r="D136" s="16"/>
      <c r="E136" s="16">
        <v>10.989136</v>
      </c>
      <c r="F136" s="16">
        <v>12.817</v>
      </c>
      <c r="G136" s="16">
        <v>17.073</v>
      </c>
      <c r="H136" s="16">
        <v>16.091999999999999</v>
      </c>
      <c r="I136" s="16">
        <v>28.039000000000001</v>
      </c>
    </row>
    <row r="137" spans="2:10" ht="15">
      <c r="B137" s="15" t="s">
        <v>196</v>
      </c>
      <c r="C137" s="16">
        <v>1.034</v>
      </c>
      <c r="D137" s="16">
        <v>1.597</v>
      </c>
      <c r="E137" s="16">
        <v>0.11995599999999999</v>
      </c>
      <c r="F137" s="16">
        <v>4.202</v>
      </c>
      <c r="G137" s="16">
        <v>7.7640000000000002</v>
      </c>
      <c r="H137" s="16">
        <v>7.2089999999999996</v>
      </c>
      <c r="I137" s="16">
        <v>11.343999999999999</v>
      </c>
    </row>
    <row r="138" spans="2:10" ht="15">
      <c r="B138" s="15" t="s">
        <v>197</v>
      </c>
      <c r="C138" s="16">
        <v>1.08</v>
      </c>
      <c r="D138" s="16">
        <v>3.6909999999999998</v>
      </c>
      <c r="E138" s="16">
        <v>0.81375500000000001</v>
      </c>
      <c r="F138" s="16"/>
      <c r="G138" s="16"/>
      <c r="H138" s="16"/>
      <c r="I138" s="16"/>
    </row>
    <row r="139" spans="2:10" ht="15">
      <c r="B139" s="15" t="s">
        <v>198</v>
      </c>
      <c r="C139" s="2"/>
      <c r="D139" s="2"/>
      <c r="E139" s="2"/>
      <c r="F139" s="2"/>
      <c r="G139" s="2"/>
      <c r="H139" s="2"/>
      <c r="I139" s="2"/>
    </row>
    <row r="140" spans="2:10" ht="15">
      <c r="B140" s="17" t="s">
        <v>199</v>
      </c>
      <c r="C140" s="3">
        <f t="shared" ref="C140:I140" si="16">SUM(C135:C139)</f>
        <v>2.1139999999999999</v>
      </c>
      <c r="D140" s="3">
        <f t="shared" si="16"/>
        <v>5.2880000000000003</v>
      </c>
      <c r="E140" s="3">
        <f t="shared" si="16"/>
        <v>11.922847000000001</v>
      </c>
      <c r="F140" s="3">
        <f t="shared" si="16"/>
        <v>17.018999999999998</v>
      </c>
      <c r="G140" s="3">
        <f t="shared" si="16"/>
        <v>24.837</v>
      </c>
      <c r="H140" s="3">
        <f t="shared" si="16"/>
        <v>23.300999999999998</v>
      </c>
      <c r="I140" s="3">
        <f t="shared" si="16"/>
        <v>39.383000000000003</v>
      </c>
      <c r="J140" s="4"/>
    </row>
    <row r="141" spans="2:10" ht="6" customHeight="1">
      <c r="B141" s="15"/>
      <c r="C141" s="16"/>
      <c r="D141" s="16"/>
      <c r="E141" s="16"/>
      <c r="F141" s="16"/>
      <c r="G141" s="16"/>
      <c r="H141" s="16"/>
      <c r="I141" s="16"/>
    </row>
    <row r="142" spans="2:10" ht="15">
      <c r="B142" s="17" t="s">
        <v>200</v>
      </c>
      <c r="C142" s="18">
        <f t="shared" ref="C142:I142" si="17">C133-C140</f>
        <v>23.834999999999987</v>
      </c>
      <c r="D142" s="18">
        <f t="shared" si="17"/>
        <v>38.041999999999987</v>
      </c>
      <c r="E142" s="18">
        <f t="shared" si="17"/>
        <v>68.381270999999984</v>
      </c>
      <c r="F142" s="18">
        <f t="shared" si="17"/>
        <v>115.85499999999996</v>
      </c>
      <c r="G142" s="18">
        <f t="shared" si="17"/>
        <v>303.47800000000001</v>
      </c>
      <c r="H142" s="18">
        <f t="shared" si="17"/>
        <v>677.36699999999973</v>
      </c>
      <c r="I142" s="18">
        <f t="shared" si="17"/>
        <v>490.62799999999964</v>
      </c>
      <c r="J142" s="4"/>
    </row>
    <row r="143" spans="2:10" ht="15">
      <c r="B143" s="15" t="s">
        <v>10</v>
      </c>
      <c r="C143" s="2">
        <v>2.0619999999999998</v>
      </c>
      <c r="D143" s="2">
        <v>7.9939999999999998</v>
      </c>
      <c r="E143" s="2">
        <v>15.135037000000001</v>
      </c>
      <c r="F143" s="2">
        <v>20.645</v>
      </c>
      <c r="G143" s="2">
        <v>24.344999999999999</v>
      </c>
      <c r="H143" s="2">
        <v>43.582000000000001</v>
      </c>
      <c r="I143" s="2">
        <v>60.753999999999998</v>
      </c>
    </row>
    <row r="144" spans="2:10" ht="15">
      <c r="B144" s="17" t="s">
        <v>201</v>
      </c>
      <c r="C144" s="18">
        <f>C142-C143</f>
        <v>21.772999999999985</v>
      </c>
      <c r="D144" s="18">
        <f t="shared" ref="D144:I144" si="18">D142-D143</f>
        <v>30.047999999999988</v>
      </c>
      <c r="E144" s="18">
        <f t="shared" si="18"/>
        <v>53.246233999999987</v>
      </c>
      <c r="F144" s="18">
        <f t="shared" si="18"/>
        <v>95.209999999999965</v>
      </c>
      <c r="G144" s="18">
        <f t="shared" si="18"/>
        <v>279.13300000000004</v>
      </c>
      <c r="H144" s="18">
        <f t="shared" si="18"/>
        <v>633.78499999999974</v>
      </c>
      <c r="I144" s="18">
        <f t="shared" si="18"/>
        <v>429.87399999999963</v>
      </c>
      <c r="J144" s="4"/>
    </row>
    <row r="145" spans="2:10" ht="6" customHeight="1">
      <c r="B145" s="15"/>
      <c r="C145" s="2"/>
      <c r="D145" s="2"/>
      <c r="E145" s="2"/>
      <c r="F145" s="2"/>
      <c r="G145" s="2"/>
      <c r="H145" s="2"/>
      <c r="I145" s="2"/>
    </row>
    <row r="146" spans="2:10" ht="15">
      <c r="B146" s="15" t="s">
        <v>202</v>
      </c>
      <c r="C146" s="16"/>
      <c r="D146" s="16"/>
      <c r="E146" s="16"/>
      <c r="F146" s="16"/>
      <c r="G146" s="16"/>
      <c r="H146" s="16"/>
      <c r="I146" s="16"/>
    </row>
    <row r="147" spans="2:10" ht="15">
      <c r="B147" s="15" t="s">
        <v>203</v>
      </c>
      <c r="C147" s="16"/>
      <c r="D147" s="16"/>
      <c r="E147" s="16"/>
      <c r="F147" s="16"/>
      <c r="G147" s="16"/>
      <c r="H147" s="16"/>
      <c r="I147" s="16"/>
    </row>
    <row r="148" spans="2:10" ht="15">
      <c r="B148" s="15" t="s">
        <v>204</v>
      </c>
      <c r="C148" s="16"/>
      <c r="D148" s="16"/>
      <c r="E148" s="16"/>
      <c r="F148" s="16"/>
      <c r="G148" s="16"/>
      <c r="H148" s="16"/>
      <c r="I148" s="16"/>
    </row>
    <row r="149" spans="2:10" ht="15">
      <c r="B149" s="15" t="s">
        <v>205</v>
      </c>
      <c r="C149" s="16"/>
      <c r="D149" s="16"/>
      <c r="E149" s="16"/>
      <c r="F149" s="16"/>
      <c r="G149" s="16"/>
      <c r="H149" s="16"/>
      <c r="I149" s="16"/>
    </row>
    <row r="150" spans="2:10" ht="15">
      <c r="B150" s="15" t="s">
        <v>206</v>
      </c>
      <c r="C150" s="16"/>
      <c r="D150" s="16"/>
      <c r="E150" s="16"/>
      <c r="F150" s="16"/>
      <c r="G150" s="16"/>
      <c r="H150" s="16"/>
      <c r="I150" s="16"/>
    </row>
    <row r="151" spans="2:10" ht="15">
      <c r="B151" s="15" t="s">
        <v>207</v>
      </c>
      <c r="C151" s="16"/>
      <c r="D151" s="16"/>
      <c r="E151" s="16"/>
      <c r="F151" s="16">
        <v>-0.433</v>
      </c>
      <c r="G151" s="16"/>
      <c r="H151" s="16"/>
      <c r="I151" s="16"/>
    </row>
    <row r="152" spans="2:10" ht="15">
      <c r="B152" s="15" t="s">
        <v>208</v>
      </c>
      <c r="C152" s="2"/>
      <c r="D152" s="2"/>
      <c r="E152" s="2"/>
      <c r="F152" s="2"/>
      <c r="G152" s="2"/>
      <c r="H152" s="2"/>
      <c r="I152" s="2"/>
    </row>
    <row r="153" spans="2:10" ht="15">
      <c r="B153" s="17" t="s">
        <v>209</v>
      </c>
      <c r="C153" s="3">
        <f>SUM(C146:C152)</f>
        <v>0</v>
      </c>
      <c r="D153" s="3">
        <f t="shared" ref="D153:I153" si="19">SUM(D146:D152)</f>
        <v>0</v>
      </c>
      <c r="E153" s="3">
        <f t="shared" si="19"/>
        <v>0</v>
      </c>
      <c r="F153" s="3">
        <f t="shared" si="19"/>
        <v>-0.433</v>
      </c>
      <c r="G153" s="3">
        <f t="shared" si="19"/>
        <v>0</v>
      </c>
      <c r="H153" s="3">
        <f t="shared" si="19"/>
        <v>0</v>
      </c>
      <c r="I153" s="3">
        <f t="shared" si="19"/>
        <v>0</v>
      </c>
      <c r="J153" s="4"/>
    </row>
    <row r="154" spans="2:10" ht="6" customHeight="1">
      <c r="B154" s="15"/>
      <c r="C154" s="19"/>
      <c r="D154" s="19"/>
      <c r="E154" s="19"/>
      <c r="F154" s="19"/>
      <c r="G154" s="19"/>
      <c r="H154" s="19"/>
      <c r="I154" s="19"/>
    </row>
    <row r="155" spans="2:10" ht="15">
      <c r="B155" s="17" t="s">
        <v>28</v>
      </c>
      <c r="C155" s="18">
        <f>C144+C153</f>
        <v>21.772999999999985</v>
      </c>
      <c r="D155" s="18">
        <f t="shared" ref="D155:I155" si="20">D144+D153</f>
        <v>30.047999999999988</v>
      </c>
      <c r="E155" s="18">
        <f t="shared" si="20"/>
        <v>53.246233999999987</v>
      </c>
      <c r="F155" s="18">
        <f t="shared" si="20"/>
        <v>94.776999999999958</v>
      </c>
      <c r="G155" s="18">
        <f t="shared" si="20"/>
        <v>279.13300000000004</v>
      </c>
      <c r="H155" s="18">
        <f t="shared" si="20"/>
        <v>633.78499999999974</v>
      </c>
      <c r="I155" s="18">
        <f t="shared" si="20"/>
        <v>429.87399999999963</v>
      </c>
      <c r="J155" s="4"/>
    </row>
    <row r="156" spans="2:10" ht="6" customHeight="1">
      <c r="B156" s="15"/>
      <c r="C156" s="16"/>
      <c r="D156" s="16"/>
      <c r="E156" s="16"/>
      <c r="F156" s="16"/>
      <c r="G156" s="16"/>
      <c r="H156" s="16"/>
      <c r="I156" s="16"/>
    </row>
    <row r="157" spans="2:10" ht="15">
      <c r="B157" s="15" t="s">
        <v>210</v>
      </c>
      <c r="C157" s="16"/>
      <c r="D157" s="16"/>
      <c r="E157" s="16"/>
      <c r="F157" s="16"/>
      <c r="G157" s="16"/>
      <c r="H157" s="16"/>
      <c r="I157" s="16"/>
    </row>
    <row r="158" spans="2:10" ht="15">
      <c r="B158" s="15" t="s">
        <v>211</v>
      </c>
      <c r="C158" s="16">
        <v>3.7069999999999999</v>
      </c>
      <c r="D158" s="16">
        <v>3.71</v>
      </c>
      <c r="E158" s="16">
        <v>9.6208170000000006</v>
      </c>
      <c r="F158" s="16">
        <v>18.023</v>
      </c>
      <c r="G158" s="16">
        <v>62.262</v>
      </c>
      <c r="H158" s="16">
        <v>148.708</v>
      </c>
      <c r="I158" s="16">
        <v>88.119</v>
      </c>
    </row>
    <row r="159" spans="2:10" ht="15">
      <c r="B159" s="15" t="s">
        <v>212</v>
      </c>
      <c r="C159" s="16">
        <v>3.6840000000000002</v>
      </c>
      <c r="D159" s="16">
        <v>-4.2000000000000003E-2</v>
      </c>
      <c r="E159" s="16">
        <v>5.7890139999999999</v>
      </c>
      <c r="F159" s="16">
        <v>8.4339999999999993</v>
      </c>
      <c r="G159" s="16">
        <v>9.1379999999999999</v>
      </c>
      <c r="H159" s="16">
        <v>13.083</v>
      </c>
      <c r="I159" s="16">
        <v>11.726000000000001</v>
      </c>
    </row>
    <row r="160" spans="2:10" ht="15">
      <c r="B160" s="15" t="s">
        <v>213</v>
      </c>
      <c r="C160" s="16"/>
      <c r="D160" s="16"/>
      <c r="E160" s="16"/>
      <c r="F160" s="16"/>
      <c r="G160" s="16"/>
      <c r="H160" s="16"/>
      <c r="I160" s="16"/>
    </row>
    <row r="161" spans="2:10" ht="15">
      <c r="B161" s="15" t="s">
        <v>214</v>
      </c>
      <c r="C161" s="16"/>
      <c r="D161" s="16">
        <v>-0.71199999999999997</v>
      </c>
      <c r="E161" s="16">
        <v>-4.704758</v>
      </c>
      <c r="F161" s="16"/>
      <c r="G161" s="16"/>
      <c r="H161" s="16"/>
      <c r="I161" s="16"/>
    </row>
    <row r="162" spans="2:10" ht="15">
      <c r="B162" s="15" t="s">
        <v>215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</row>
    <row r="163" spans="2:10" ht="15">
      <c r="B163" s="15" t="s">
        <v>216</v>
      </c>
      <c r="C163" s="16"/>
      <c r="D163" s="16"/>
      <c r="E163" s="16"/>
      <c r="F163" s="16"/>
      <c r="G163" s="16"/>
      <c r="H163" s="16"/>
      <c r="I163" s="16"/>
    </row>
    <row r="164" spans="2:10" ht="15">
      <c r="B164" s="15" t="s">
        <v>163</v>
      </c>
      <c r="C164" s="16"/>
      <c r="D164" s="16"/>
      <c r="E164" s="16"/>
      <c r="F164" s="16"/>
      <c r="G164" s="16"/>
      <c r="H164" s="16"/>
      <c r="I164" s="16"/>
    </row>
    <row r="165" spans="2:10" ht="15">
      <c r="B165" s="15" t="s">
        <v>217</v>
      </c>
      <c r="C165" s="16"/>
      <c r="D165" s="16"/>
      <c r="E165" s="16"/>
      <c r="F165" s="16"/>
      <c r="G165" s="16"/>
      <c r="H165" s="16"/>
      <c r="I165" s="16"/>
    </row>
    <row r="166" spans="2:10" ht="15">
      <c r="B166" s="15" t="s">
        <v>218</v>
      </c>
      <c r="C166" s="2"/>
      <c r="D166" s="2"/>
      <c r="E166" s="2"/>
      <c r="F166" s="2"/>
      <c r="G166" s="2"/>
      <c r="H166" s="2"/>
      <c r="I166" s="2"/>
    </row>
    <row r="167" spans="2:10" ht="15">
      <c r="B167" s="17" t="s">
        <v>219</v>
      </c>
      <c r="C167" s="3">
        <f>SUM(C157:C162)</f>
        <v>7.391</v>
      </c>
      <c r="D167" s="3">
        <f t="shared" ref="D167:I167" si="21">SUM(D157:D162)</f>
        <v>2.9560000000000004</v>
      </c>
      <c r="E167" s="3">
        <f t="shared" si="21"/>
        <v>10.705073000000001</v>
      </c>
      <c r="F167" s="3">
        <f t="shared" si="21"/>
        <v>26.457000000000001</v>
      </c>
      <c r="G167" s="3">
        <f t="shared" si="21"/>
        <v>71.400000000000006</v>
      </c>
      <c r="H167" s="3">
        <f t="shared" si="21"/>
        <v>161.791</v>
      </c>
      <c r="I167" s="3">
        <f t="shared" si="21"/>
        <v>99.844999999999999</v>
      </c>
      <c r="J167" s="4"/>
    </row>
    <row r="168" spans="2:10" ht="6" customHeight="1">
      <c r="B168" s="15"/>
      <c r="C168" s="16"/>
      <c r="D168" s="16"/>
      <c r="E168" s="16"/>
      <c r="F168" s="16"/>
      <c r="G168" s="16"/>
      <c r="H168" s="16"/>
      <c r="I168" s="16"/>
    </row>
    <row r="169" spans="2:10" ht="15.75" thickBot="1">
      <c r="B169" s="17" t="s">
        <v>220</v>
      </c>
      <c r="C169" s="21">
        <f>C155-C167</f>
        <v>14.381999999999985</v>
      </c>
      <c r="D169" s="21">
        <f t="shared" ref="D169:I169" si="22">D155-D167</f>
        <v>27.091999999999988</v>
      </c>
      <c r="E169" s="21">
        <f t="shared" si="22"/>
        <v>42.541160999999988</v>
      </c>
      <c r="F169" s="21">
        <f t="shared" si="22"/>
        <v>68.319999999999965</v>
      </c>
      <c r="G169" s="21">
        <f t="shared" si="22"/>
        <v>207.73300000000003</v>
      </c>
      <c r="H169" s="21">
        <f t="shared" si="22"/>
        <v>471.99399999999974</v>
      </c>
      <c r="I169" s="21">
        <f t="shared" si="22"/>
        <v>330.02899999999966</v>
      </c>
      <c r="J169" s="4"/>
    </row>
    <row r="170" spans="2:10" ht="6" customHeight="1" thickTop="1">
      <c r="B170" s="15"/>
      <c r="C170" s="16"/>
      <c r="D170" s="16"/>
      <c r="E170" s="16"/>
      <c r="F170" s="16"/>
      <c r="G170" s="16"/>
      <c r="H170" s="16"/>
      <c r="I170" s="16"/>
    </row>
    <row r="171" spans="2:10" ht="15">
      <c r="B171" s="15" t="s">
        <v>221</v>
      </c>
      <c r="C171" s="16">
        <v>0</v>
      </c>
      <c r="D171" s="16">
        <v>0</v>
      </c>
      <c r="E171" s="16"/>
      <c r="F171" s="16">
        <v>0</v>
      </c>
      <c r="G171" s="16">
        <v>0</v>
      </c>
      <c r="H171" s="16"/>
      <c r="I171" s="16"/>
    </row>
    <row r="172" spans="2:10" ht="15">
      <c r="B172" s="15" t="s">
        <v>222</v>
      </c>
      <c r="C172" s="16">
        <v>-1.202</v>
      </c>
      <c r="D172" s="16">
        <v>-8.0760000000000005</v>
      </c>
      <c r="E172" s="16">
        <v>-2.5924049999999998</v>
      </c>
      <c r="F172" s="16">
        <v>-1.2909999999999999</v>
      </c>
      <c r="G172" s="16">
        <v>-5.0999999999999996</v>
      </c>
      <c r="H172" s="16">
        <v>-1.534</v>
      </c>
      <c r="I172" s="16">
        <v>0.77900000000000003</v>
      </c>
    </row>
    <row r="173" spans="2:10" ht="15">
      <c r="B173" s="15" t="s">
        <v>223</v>
      </c>
      <c r="C173" s="16"/>
      <c r="D173" s="16"/>
      <c r="E173" s="16">
        <v>-5.4058960000000003</v>
      </c>
      <c r="F173" s="16">
        <v>-1.788</v>
      </c>
      <c r="G173" s="16">
        <v>-8.7609999999999992</v>
      </c>
      <c r="H173" s="16">
        <v>-4.4669999999999996</v>
      </c>
      <c r="I173" s="16">
        <v>-58.368000000000002</v>
      </c>
    </row>
    <row r="174" spans="2:10" ht="15">
      <c r="B174" s="15" t="s">
        <v>224</v>
      </c>
      <c r="C174" s="16"/>
      <c r="D174" s="16"/>
      <c r="E174" s="16"/>
      <c r="F174" s="16"/>
      <c r="G174" s="16"/>
      <c r="H174" s="16"/>
      <c r="I174" s="16"/>
    </row>
    <row r="175" spans="2:10" ht="6" customHeight="1">
      <c r="B175" s="15"/>
      <c r="C175" s="2"/>
      <c r="D175" s="2"/>
      <c r="E175" s="2"/>
      <c r="F175" s="2"/>
      <c r="G175" s="2"/>
      <c r="H175" s="2"/>
      <c r="I175" s="2"/>
    </row>
    <row r="176" spans="2:10" ht="15.75" thickBot="1">
      <c r="B176" s="17" t="s">
        <v>225</v>
      </c>
      <c r="C176" s="6">
        <f>SUM(C169,C171:C174)</f>
        <v>13.179999999999986</v>
      </c>
      <c r="D176" s="6">
        <f t="shared" ref="D176:I176" si="23">SUM(D169,D171:D174)</f>
        <v>19.015999999999988</v>
      </c>
      <c r="E176" s="6">
        <f t="shared" si="23"/>
        <v>34.54285999999999</v>
      </c>
      <c r="F176" s="6">
        <f t="shared" si="23"/>
        <v>65.240999999999971</v>
      </c>
      <c r="G176" s="6">
        <f t="shared" si="23"/>
        <v>193.87200000000004</v>
      </c>
      <c r="H176" s="6">
        <f t="shared" si="23"/>
        <v>465.99299999999977</v>
      </c>
      <c r="I176" s="6">
        <f t="shared" si="23"/>
        <v>272.43999999999966</v>
      </c>
      <c r="J176" s="4"/>
    </row>
    <row r="177" spans="2:9" ht="15.75" thickTop="1">
      <c r="B177" s="15" t="s">
        <v>226</v>
      </c>
      <c r="C177" s="16"/>
      <c r="D177" s="16"/>
      <c r="E177" s="16"/>
      <c r="F177" s="16"/>
      <c r="G177" s="16"/>
      <c r="H177" s="16"/>
      <c r="I177" s="16"/>
    </row>
    <row r="178" spans="2:9" ht="15">
      <c r="B178" s="15" t="s">
        <v>227</v>
      </c>
      <c r="C178" s="16">
        <v>7.0510000000000002</v>
      </c>
      <c r="D178" s="16">
        <v>20.239000000000001</v>
      </c>
      <c r="E178" s="16">
        <v>28.354873000000001</v>
      </c>
      <c r="F178" s="16">
        <v>62.898000000000003</v>
      </c>
      <c r="G178" s="16">
        <v>77.275000000000006</v>
      </c>
      <c r="H178" s="16">
        <v>272.09199999999998</v>
      </c>
      <c r="I178" s="16">
        <v>738.08399999999995</v>
      </c>
    </row>
    <row r="179" spans="2:9" ht="6" customHeight="1">
      <c r="B179" s="15"/>
      <c r="C179" s="16"/>
      <c r="D179" s="16"/>
      <c r="E179" s="16"/>
      <c r="F179" s="16"/>
      <c r="G179" s="16"/>
      <c r="H179" s="16"/>
      <c r="I179" s="16"/>
    </row>
    <row r="180" spans="2:9" ht="15">
      <c r="B180" s="15" t="s">
        <v>228</v>
      </c>
      <c r="C180" s="16"/>
      <c r="D180" s="16"/>
      <c r="E180" s="16"/>
      <c r="F180" s="16"/>
      <c r="G180" s="16"/>
      <c r="H180" s="16"/>
      <c r="I180" s="16"/>
    </row>
    <row r="181" spans="2:9" ht="15">
      <c r="B181" s="15" t="s">
        <v>229</v>
      </c>
      <c r="C181" s="16"/>
      <c r="D181" s="16"/>
      <c r="E181" s="16"/>
      <c r="F181" s="16"/>
      <c r="G181" s="16"/>
      <c r="H181" s="16"/>
      <c r="I181" s="16"/>
    </row>
    <row r="182" spans="2:9" ht="15">
      <c r="B182" s="15" t="s">
        <v>230</v>
      </c>
      <c r="C182" s="16"/>
      <c r="D182" s="16"/>
      <c r="E182" s="16"/>
      <c r="F182" s="16"/>
      <c r="G182" s="16"/>
      <c r="H182" s="16"/>
      <c r="I182" s="16"/>
    </row>
    <row r="183" spans="2:9" ht="15">
      <c r="B183" s="15" t="s">
        <v>231</v>
      </c>
      <c r="C183" s="16"/>
      <c r="D183" s="16"/>
      <c r="E183" s="16"/>
      <c r="F183" s="16"/>
      <c r="G183" s="16"/>
      <c r="H183" s="16"/>
      <c r="I183" s="16"/>
    </row>
    <row r="184" spans="2:9" ht="15">
      <c r="B184" s="15" t="s">
        <v>232</v>
      </c>
      <c r="C184" s="16"/>
      <c r="D184" s="16"/>
      <c r="E184" s="16"/>
      <c r="F184" s="16"/>
      <c r="G184" s="16"/>
      <c r="H184" s="16"/>
      <c r="I184" s="16"/>
    </row>
    <row r="185" spans="2:9" ht="15">
      <c r="B185" s="15" t="s">
        <v>233</v>
      </c>
      <c r="C185" s="16"/>
      <c r="D185" s="16"/>
      <c r="E185" s="16"/>
      <c r="F185" s="16"/>
      <c r="G185" s="16"/>
      <c r="H185" s="16"/>
      <c r="I185" s="16"/>
    </row>
    <row r="186" spans="2:9" ht="15">
      <c r="B186" s="15" t="s">
        <v>234</v>
      </c>
      <c r="C186" s="16"/>
      <c r="D186" s="16"/>
      <c r="E186" s="16"/>
      <c r="F186" s="16"/>
      <c r="G186" s="16"/>
      <c r="H186" s="16"/>
      <c r="I186" s="16"/>
    </row>
    <row r="187" spans="2:9" ht="15">
      <c r="B187" s="15" t="s">
        <v>235</v>
      </c>
      <c r="C187" s="16">
        <v>-8.0000000000000002E-3</v>
      </c>
      <c r="D187" s="16">
        <v>-1E-3</v>
      </c>
      <c r="E187" s="16"/>
      <c r="F187" s="16">
        <v>50.863999999999997</v>
      </c>
      <c r="G187" s="16"/>
      <c r="H187" s="16"/>
      <c r="I187" s="16">
        <v>-0.107</v>
      </c>
    </row>
    <row r="188" spans="2:9" ht="15">
      <c r="B188" s="15" t="s">
        <v>236</v>
      </c>
      <c r="C188" s="16"/>
      <c r="D188" s="16"/>
      <c r="E188" s="16"/>
      <c r="F188" s="16"/>
      <c r="G188" s="16"/>
      <c r="H188" s="16"/>
      <c r="I188" s="16"/>
    </row>
    <row r="189" spans="2:9" ht="15">
      <c r="B189" s="15" t="s">
        <v>237</v>
      </c>
      <c r="C189" s="16"/>
      <c r="D189" s="16"/>
      <c r="E189" s="16"/>
      <c r="F189" s="16"/>
      <c r="G189" s="16"/>
      <c r="H189" s="16"/>
      <c r="I189" s="16"/>
    </row>
    <row r="190" spans="2:9" ht="15">
      <c r="B190" s="15" t="s">
        <v>238</v>
      </c>
      <c r="C190" s="16"/>
      <c r="D190" s="16"/>
      <c r="E190" s="16"/>
      <c r="F190" s="16"/>
      <c r="G190" s="16"/>
      <c r="H190" s="16"/>
      <c r="I190" s="16"/>
    </row>
    <row r="191" spans="2:9" ht="15">
      <c r="B191" s="15" t="s">
        <v>239</v>
      </c>
      <c r="C191" s="16"/>
      <c r="D191" s="16"/>
      <c r="E191" s="16"/>
      <c r="F191" s="16"/>
      <c r="G191" s="16"/>
      <c r="H191" s="16"/>
      <c r="I191" s="16"/>
    </row>
    <row r="192" spans="2:9" ht="15">
      <c r="B192" s="15" t="s">
        <v>240</v>
      </c>
      <c r="C192" s="16"/>
      <c r="D192" s="16"/>
      <c r="E192" s="16"/>
      <c r="F192" s="16"/>
      <c r="G192" s="16"/>
      <c r="H192" s="16"/>
      <c r="I192" s="16"/>
    </row>
    <row r="193" spans="2:10" ht="15">
      <c r="B193" s="15" t="s">
        <v>241</v>
      </c>
      <c r="C193" s="16"/>
      <c r="D193" s="16"/>
      <c r="E193" s="16"/>
      <c r="F193" s="16"/>
      <c r="G193" s="16"/>
      <c r="H193" s="16"/>
      <c r="I193" s="16"/>
    </row>
    <row r="194" spans="2:10" ht="15">
      <c r="B194" s="15" t="s">
        <v>242</v>
      </c>
      <c r="C194" s="16"/>
      <c r="D194" s="16"/>
      <c r="E194" s="16"/>
      <c r="F194" s="16"/>
      <c r="G194" s="16"/>
      <c r="H194" s="16"/>
      <c r="I194" s="16"/>
    </row>
    <row r="195" spans="2:10" ht="15">
      <c r="B195" s="15" t="s">
        <v>79</v>
      </c>
      <c r="C195" s="16"/>
      <c r="D195" s="16"/>
      <c r="E195" s="16"/>
      <c r="F195" s="16"/>
      <c r="G195" s="16"/>
      <c r="H195" s="16"/>
      <c r="I195" s="16"/>
    </row>
    <row r="196" spans="2:10" ht="15">
      <c r="B196" s="15" t="s">
        <v>243</v>
      </c>
      <c r="C196" s="16"/>
      <c r="D196" s="16"/>
      <c r="E196" s="16"/>
      <c r="F196" s="16"/>
      <c r="G196" s="16"/>
      <c r="H196" s="16"/>
      <c r="I196" s="16"/>
    </row>
    <row r="197" spans="2:10" ht="15">
      <c r="B197" s="15" t="s">
        <v>244</v>
      </c>
      <c r="C197" s="16"/>
      <c r="D197" s="16"/>
      <c r="E197" s="16"/>
      <c r="F197" s="16"/>
      <c r="G197" s="16"/>
      <c r="H197" s="16"/>
      <c r="I197" s="16"/>
    </row>
    <row r="198" spans="2:10" ht="15">
      <c r="B198" s="15" t="s">
        <v>245</v>
      </c>
      <c r="C198" s="2">
        <v>20.239000000000001</v>
      </c>
      <c r="D198" s="2">
        <v>39.256</v>
      </c>
      <c r="E198" s="2">
        <v>62.897733000000002</v>
      </c>
      <c r="F198" s="2">
        <v>77.275000000000006</v>
      </c>
      <c r="G198" s="2">
        <v>272.09199999999998</v>
      </c>
      <c r="H198" s="2">
        <v>738.08500000000004</v>
      </c>
      <c r="I198" s="2">
        <v>1010.631</v>
      </c>
    </row>
    <row r="199" spans="2:10" ht="15">
      <c r="B199" s="17" t="s">
        <v>246</v>
      </c>
      <c r="C199" s="3">
        <f>SUM(C180:C198)</f>
        <v>20.231000000000002</v>
      </c>
      <c r="D199" s="3">
        <f t="shared" ref="D199:I199" si="24">SUM(D180:D198)</f>
        <v>39.255000000000003</v>
      </c>
      <c r="E199" s="3">
        <f t="shared" si="24"/>
        <v>62.897733000000002</v>
      </c>
      <c r="F199" s="3">
        <f t="shared" si="24"/>
        <v>128.13900000000001</v>
      </c>
      <c r="G199" s="3">
        <f t="shared" si="24"/>
        <v>272.09199999999998</v>
      </c>
      <c r="H199" s="3">
        <f t="shared" si="24"/>
        <v>738.08500000000004</v>
      </c>
      <c r="I199" s="3">
        <f t="shared" si="24"/>
        <v>1010.524</v>
      </c>
      <c r="J199" s="4"/>
    </row>
    <row r="200" spans="2:10" ht="6" customHeight="1">
      <c r="B200" s="15"/>
      <c r="C200" s="16"/>
      <c r="D200" s="16"/>
      <c r="E200" s="16"/>
      <c r="F200" s="16"/>
      <c r="G200" s="16"/>
      <c r="H200" s="16"/>
      <c r="I200" s="16"/>
    </row>
    <row r="201" spans="2:10" ht="15">
      <c r="B201" s="24" t="s">
        <v>247</v>
      </c>
      <c r="C201" s="16"/>
      <c r="D201" s="16"/>
      <c r="E201" s="16"/>
      <c r="F201" s="16"/>
      <c r="G201" s="16"/>
      <c r="H201" s="16"/>
      <c r="I201" s="16"/>
    </row>
    <row r="202" spans="2:10" ht="15">
      <c r="B202" s="15" t="s">
        <v>248</v>
      </c>
      <c r="C202" s="16">
        <v>1318</v>
      </c>
      <c r="D202" s="16">
        <v>7.6063999999999998</v>
      </c>
      <c r="E202" s="16">
        <v>13.8171</v>
      </c>
      <c r="F202" s="16">
        <v>6.37368112543962</v>
      </c>
      <c r="G202" s="16">
        <v>19.032532239155898</v>
      </c>
      <c r="H202" s="16">
        <v>43.1435052309971</v>
      </c>
      <c r="I202" s="16">
        <v>25.223600000000001</v>
      </c>
    </row>
    <row r="203" spans="2:10" ht="15">
      <c r="B203" s="15" t="s">
        <v>249</v>
      </c>
      <c r="C203" s="16">
        <v>439.33333333333297</v>
      </c>
      <c r="D203" s="16">
        <v>2.5354666666666699</v>
      </c>
      <c r="E203" s="16">
        <v>4.6056999999999997</v>
      </c>
      <c r="F203" s="16">
        <v>6.3737000000000004</v>
      </c>
      <c r="G203" s="16">
        <v>19.032499999999999</v>
      </c>
      <c r="H203" s="16">
        <v>43.143500000000003</v>
      </c>
      <c r="I203" s="16">
        <v>25.223600000000001</v>
      </c>
    </row>
    <row r="204" spans="2:10" ht="6" customHeight="1">
      <c r="C204" s="25"/>
      <c r="D204" s="25"/>
      <c r="E204" s="25"/>
      <c r="F204" s="25"/>
      <c r="G204" s="25"/>
      <c r="H204" s="25"/>
      <c r="I204" s="25"/>
    </row>
    <row r="205" spans="2:10" ht="15">
      <c r="B205" s="1"/>
    </row>
  </sheetData>
  <printOptions horizontalCentered="1"/>
  <pageMargins left="0.196850393700787" right="0.196850393700787" top="0.196850393700787" bottom="0.196850393700787" header="0.11811023622047198" footer="0.11811023622047198"/>
  <pageSetup paperSize="9" fitToHeight="0" orientation="landscape" cellComments="atEnd" r:id="rId1"/>
  <headerFooter>
    <oddFooter>&amp;C Page &amp;P of &amp;N 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435F-3941-4C73-98AB-45CD4BA95796}">
  <sheetPr>
    <pageSetUpPr fitToPage="1"/>
  </sheetPr>
  <dimension ref="B1:J95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6" sqref="I1:I1048576"/>
    </sheetView>
  </sheetViews>
  <sheetFormatPr defaultRowHeight="14.25"/>
  <cols>
    <col min="1" max="1" width="0.875" customWidth="1"/>
    <col min="2" max="2" width="56.25" bestFit="1" customWidth="1"/>
    <col min="3" max="9" width="9.625" customWidth="1"/>
  </cols>
  <sheetData>
    <row r="1" spans="2:9" ht="15">
      <c r="B1" s="12" t="str">
        <f>+Cover!B3</f>
        <v>Knowledge Marine &amp; Engineering Works Ltd.</v>
      </c>
    </row>
    <row r="3" spans="2:9" ht="15">
      <c r="B3" s="13" t="s">
        <v>89</v>
      </c>
      <c r="C3" s="14"/>
      <c r="D3" s="14"/>
      <c r="E3" s="14"/>
      <c r="F3" s="14"/>
      <c r="G3" s="14"/>
      <c r="H3" s="14"/>
      <c r="I3" s="14"/>
    </row>
    <row r="4" spans="2:9" ht="15">
      <c r="B4" s="9" t="s">
        <v>27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</row>
    <row r="5" spans="2:9" ht="15">
      <c r="B5" s="8"/>
      <c r="C5" s="10" t="s">
        <v>9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2:9" ht="15">
      <c r="B6" s="15" t="s">
        <v>28</v>
      </c>
      <c r="C6" s="16">
        <v>21.773</v>
      </c>
      <c r="D6" s="16">
        <v>30.047999999999998</v>
      </c>
      <c r="E6" s="16">
        <v>53.246232999999997</v>
      </c>
      <c r="F6" s="16">
        <v>94.777000000000001</v>
      </c>
      <c r="G6" s="16">
        <v>280.07799999999997</v>
      </c>
      <c r="H6" s="16">
        <v>633.78399999999999</v>
      </c>
      <c r="I6" s="16">
        <v>429.87400000000002</v>
      </c>
    </row>
    <row r="7" spans="2:9" ht="15">
      <c r="B7" s="15" t="s">
        <v>10</v>
      </c>
      <c r="C7" s="16">
        <v>2.0619999999999998</v>
      </c>
      <c r="D7" s="16">
        <v>7.9939999999999998</v>
      </c>
      <c r="E7" s="16">
        <v>15.135037000000001</v>
      </c>
      <c r="F7" s="16">
        <v>20.645</v>
      </c>
      <c r="G7" s="16">
        <v>24.344999999999999</v>
      </c>
      <c r="H7" s="16">
        <v>43.582000000000001</v>
      </c>
      <c r="I7" s="16">
        <v>60.753999999999998</v>
      </c>
    </row>
    <row r="8" spans="2:9" ht="15">
      <c r="B8" s="15" t="s">
        <v>11</v>
      </c>
      <c r="C8" s="16"/>
      <c r="D8" s="16"/>
      <c r="E8" s="16"/>
      <c r="F8" s="16"/>
      <c r="G8" s="16"/>
      <c r="H8" s="16"/>
      <c r="I8" s="16"/>
    </row>
    <row r="9" spans="2:9" ht="15">
      <c r="B9" s="15" t="s">
        <v>29</v>
      </c>
      <c r="C9" s="16">
        <v>1.917</v>
      </c>
      <c r="D9" s="16">
        <v>5.0990000000000002</v>
      </c>
      <c r="E9" s="16">
        <v>11.109093</v>
      </c>
      <c r="F9" s="16">
        <v>17.018999999999998</v>
      </c>
      <c r="G9" s="16">
        <v>24.837</v>
      </c>
      <c r="H9" s="16">
        <v>23.300999999999998</v>
      </c>
      <c r="I9" s="16">
        <v>39.383000000000003</v>
      </c>
    </row>
    <row r="10" spans="2:9" ht="15">
      <c r="B10" s="15" t="s">
        <v>30</v>
      </c>
      <c r="C10" s="16"/>
      <c r="D10" s="16"/>
      <c r="E10" s="16"/>
      <c r="F10" s="16"/>
      <c r="G10" s="16"/>
      <c r="H10" s="16"/>
      <c r="I10" s="16"/>
    </row>
    <row r="11" spans="2:9" ht="15">
      <c r="B11" s="15" t="s">
        <v>31</v>
      </c>
      <c r="C11" s="16"/>
      <c r="D11" s="16"/>
      <c r="E11" s="16"/>
      <c r="F11" s="16"/>
      <c r="G11" s="16"/>
      <c r="H11" s="16"/>
      <c r="I11" s="16"/>
    </row>
    <row r="12" spans="2:9" ht="15">
      <c r="B12" s="15" t="s">
        <v>32</v>
      </c>
      <c r="C12" s="16"/>
      <c r="D12" s="16"/>
      <c r="E12" s="16"/>
      <c r="F12" s="16"/>
      <c r="G12" s="16"/>
      <c r="H12" s="16"/>
      <c r="I12" s="16"/>
    </row>
    <row r="13" spans="2:9" ht="15">
      <c r="B13" s="15" t="s">
        <v>33</v>
      </c>
      <c r="C13" s="16">
        <v>-0.41</v>
      </c>
      <c r="D13" s="16">
        <v>-0.28000000000000003</v>
      </c>
      <c r="E13" s="16">
        <v>-0.89573499999999995</v>
      </c>
      <c r="F13" s="16">
        <v>-1.2</v>
      </c>
      <c r="G13" s="16">
        <v>-3.645</v>
      </c>
      <c r="H13" s="16">
        <v>-13.804</v>
      </c>
      <c r="I13" s="16">
        <v>-31.221</v>
      </c>
    </row>
    <row r="14" spans="2:9" ht="15">
      <c r="B14" s="15" t="s">
        <v>34</v>
      </c>
      <c r="C14" s="16"/>
      <c r="D14" s="16"/>
      <c r="E14" s="16"/>
      <c r="F14" s="16"/>
      <c r="G14" s="16"/>
      <c r="H14" s="16"/>
      <c r="I14" s="16"/>
    </row>
    <row r="15" spans="2:9" ht="15">
      <c r="B15" s="15" t="s">
        <v>35</v>
      </c>
      <c r="C15" s="16"/>
      <c r="D15" s="16"/>
      <c r="E15" s="16"/>
      <c r="F15" s="16"/>
      <c r="G15" s="16"/>
      <c r="H15" s="16"/>
      <c r="I15" s="16"/>
    </row>
    <row r="16" spans="2:9" ht="15">
      <c r="B16" s="15" t="s">
        <v>36</v>
      </c>
      <c r="C16" s="16"/>
      <c r="D16" s="16"/>
      <c r="E16" s="16"/>
      <c r="F16" s="16"/>
      <c r="G16" s="16"/>
      <c r="H16" s="16">
        <v>0.501</v>
      </c>
      <c r="I16" s="16">
        <v>2.246</v>
      </c>
    </row>
    <row r="17" spans="2:10" ht="15">
      <c r="B17" s="15" t="s">
        <v>37</v>
      </c>
      <c r="C17" s="16"/>
      <c r="D17" s="16"/>
      <c r="E17" s="16"/>
      <c r="F17" s="16"/>
      <c r="G17" s="16"/>
      <c r="H17" s="16"/>
      <c r="I17" s="16"/>
    </row>
    <row r="18" spans="2:10" ht="15">
      <c r="B18" s="15" t="s">
        <v>38</v>
      </c>
      <c r="C18" s="16"/>
      <c r="D18" s="16">
        <v>3.1429999999999998</v>
      </c>
      <c r="E18" s="16"/>
      <c r="F18" s="16">
        <v>0.49299999999999999</v>
      </c>
      <c r="G18" s="16">
        <v>0.45400000000000001</v>
      </c>
      <c r="H18" s="16">
        <v>-1.7000000000000001E-2</v>
      </c>
      <c r="I18" s="16"/>
    </row>
    <row r="19" spans="2:10" ht="15">
      <c r="B19" s="15" t="s">
        <v>12</v>
      </c>
      <c r="C19" s="16"/>
      <c r="D19" s="16"/>
      <c r="E19" s="16"/>
      <c r="F19" s="16"/>
      <c r="G19" s="16"/>
      <c r="H19" s="16"/>
      <c r="I19" s="16"/>
    </row>
    <row r="20" spans="2:10" ht="15">
      <c r="B20" s="15" t="s">
        <v>39</v>
      </c>
      <c r="C20" s="16"/>
      <c r="D20" s="16"/>
      <c r="E20" s="16"/>
      <c r="F20" s="16"/>
      <c r="G20" s="16"/>
      <c r="H20" s="16"/>
      <c r="I20" s="16"/>
    </row>
    <row r="21" spans="2:10" ht="15">
      <c r="B21" s="15" t="s">
        <v>13</v>
      </c>
      <c r="C21" s="16"/>
      <c r="D21" s="16"/>
      <c r="E21" s="16"/>
      <c r="F21" s="16"/>
      <c r="G21" s="16"/>
      <c r="H21" s="16"/>
      <c r="I21" s="16"/>
    </row>
    <row r="22" spans="2:10" ht="15">
      <c r="B22" s="15" t="s">
        <v>14</v>
      </c>
      <c r="C22" s="16"/>
      <c r="D22" s="16"/>
      <c r="E22" s="16"/>
      <c r="F22" s="16"/>
      <c r="G22" s="16"/>
      <c r="H22" s="16"/>
      <c r="I22" s="16"/>
    </row>
    <row r="23" spans="2:10" ht="15">
      <c r="B23" s="15" t="s">
        <v>15</v>
      </c>
      <c r="C23" s="16"/>
      <c r="D23" s="16"/>
      <c r="E23" s="16"/>
      <c r="F23" s="16"/>
      <c r="G23" s="16"/>
      <c r="H23" s="16"/>
      <c r="I23" s="16"/>
    </row>
    <row r="24" spans="2:10" ht="15">
      <c r="B24" s="15" t="s">
        <v>40</v>
      </c>
      <c r="C24" s="16"/>
      <c r="D24" s="16"/>
      <c r="E24" s="16"/>
      <c r="F24" s="16"/>
      <c r="G24" s="16"/>
      <c r="H24" s="16"/>
      <c r="I24" s="16"/>
    </row>
    <row r="25" spans="2:10" ht="15">
      <c r="B25" s="15" t="s">
        <v>41</v>
      </c>
      <c r="C25" s="2"/>
      <c r="D25" s="2"/>
      <c r="E25" s="2"/>
      <c r="F25" s="2"/>
      <c r="G25" s="2"/>
      <c r="H25" s="2">
        <v>-1E-3</v>
      </c>
      <c r="I25" s="2">
        <v>-0.01</v>
      </c>
    </row>
    <row r="26" spans="2:10" ht="15">
      <c r="B26" s="17" t="s">
        <v>42</v>
      </c>
      <c r="C26" s="3">
        <f>SUM(C7:C25)</f>
        <v>3.569</v>
      </c>
      <c r="D26" s="3">
        <f t="shared" ref="D26:I26" si="0">SUM(D7:D25)</f>
        <v>15.956</v>
      </c>
      <c r="E26" s="3">
        <f t="shared" si="0"/>
        <v>25.348395</v>
      </c>
      <c r="F26" s="3">
        <f t="shared" si="0"/>
        <v>36.957000000000001</v>
      </c>
      <c r="G26" s="3">
        <f t="shared" si="0"/>
        <v>45.991</v>
      </c>
      <c r="H26" s="3">
        <f t="shared" si="0"/>
        <v>53.561999999999991</v>
      </c>
      <c r="I26" s="3">
        <f t="shared" si="0"/>
        <v>71.151999999999987</v>
      </c>
      <c r="J26" s="4"/>
    </row>
    <row r="27" spans="2:10" ht="6" customHeight="1">
      <c r="B27" s="15"/>
      <c r="C27" s="16"/>
      <c r="D27" s="16"/>
      <c r="E27" s="16"/>
      <c r="F27" s="16"/>
      <c r="G27" s="16"/>
      <c r="H27" s="16"/>
      <c r="I27" s="16"/>
    </row>
    <row r="28" spans="2:10" ht="15">
      <c r="B28" s="15" t="s">
        <v>43</v>
      </c>
      <c r="C28" s="16">
        <v>-10.29</v>
      </c>
      <c r="D28" s="16">
        <v>6.2030000000000003</v>
      </c>
      <c r="E28" s="16">
        <v>27.398893000000001</v>
      </c>
      <c r="F28" s="16">
        <v>26.327000000000002</v>
      </c>
      <c r="G28" s="16">
        <v>-35.459000000000003</v>
      </c>
      <c r="H28" s="16">
        <v>-519.05899999999997</v>
      </c>
      <c r="I28" s="16">
        <v>123.727</v>
      </c>
    </row>
    <row r="29" spans="2:10" ht="15">
      <c r="B29" s="15" t="s">
        <v>16</v>
      </c>
      <c r="C29" s="16"/>
      <c r="D29" s="16"/>
      <c r="E29" s="16"/>
      <c r="F29" s="16">
        <v>-0.60299999999999998</v>
      </c>
      <c r="G29" s="16">
        <v>1.41</v>
      </c>
      <c r="H29" s="16">
        <v>-9.5380000000000003</v>
      </c>
      <c r="I29" s="16">
        <v>-0.74</v>
      </c>
    </row>
    <row r="30" spans="2:10" ht="15">
      <c r="B30" s="15" t="s">
        <v>44</v>
      </c>
      <c r="C30" s="16">
        <v>-3.3039999999999998</v>
      </c>
      <c r="D30" s="16">
        <v>2.2210000000000001</v>
      </c>
      <c r="E30" s="16">
        <v>-38.700598999999997</v>
      </c>
      <c r="F30" s="16">
        <v>-59.865000000000002</v>
      </c>
      <c r="G30" s="16">
        <v>1.9590000000000001</v>
      </c>
      <c r="H30" s="16">
        <v>-91.957999999999998</v>
      </c>
      <c r="I30" s="16">
        <v>14.659000000000001</v>
      </c>
    </row>
    <row r="31" spans="2:10" ht="15">
      <c r="B31" s="15" t="s">
        <v>17</v>
      </c>
      <c r="C31" s="16"/>
      <c r="D31" s="16"/>
      <c r="E31" s="16"/>
      <c r="F31" s="16"/>
      <c r="G31" s="16">
        <v>0.58699999999999997</v>
      </c>
      <c r="H31" s="16"/>
      <c r="I31" s="16"/>
    </row>
    <row r="32" spans="2:10" ht="15">
      <c r="B32" s="15" t="s">
        <v>45</v>
      </c>
      <c r="C32" s="16">
        <v>22.577000000000002</v>
      </c>
      <c r="D32" s="16">
        <v>71.561000000000007</v>
      </c>
      <c r="E32" s="16">
        <v>-42.690545</v>
      </c>
      <c r="F32" s="16">
        <v>-30.765999999999998</v>
      </c>
      <c r="G32" s="16">
        <v>113.614</v>
      </c>
      <c r="H32" s="16">
        <v>293.40699999999998</v>
      </c>
      <c r="I32" s="16">
        <v>-206.84100000000001</v>
      </c>
    </row>
    <row r="33" spans="2:10" ht="15">
      <c r="B33" s="15" t="s">
        <v>46</v>
      </c>
      <c r="C33" s="16"/>
      <c r="D33" s="16"/>
      <c r="E33" s="16"/>
      <c r="F33" s="16"/>
      <c r="G33" s="16"/>
      <c r="H33" s="16"/>
      <c r="I33" s="16"/>
    </row>
    <row r="34" spans="2:10" ht="15">
      <c r="B34" s="15" t="s">
        <v>47</v>
      </c>
      <c r="C34" s="16">
        <v>-0.41899999999999998</v>
      </c>
      <c r="D34" s="16">
        <v>-10.81</v>
      </c>
      <c r="E34" s="16"/>
      <c r="F34" s="16"/>
      <c r="G34" s="16"/>
      <c r="H34" s="16"/>
      <c r="I34" s="16"/>
    </row>
    <row r="35" spans="2:10" ht="15">
      <c r="B35" s="15" t="s">
        <v>48</v>
      </c>
      <c r="C35" s="16"/>
      <c r="D35" s="16"/>
      <c r="E35" s="16"/>
      <c r="F35" s="16"/>
      <c r="G35" s="16"/>
      <c r="H35" s="16"/>
      <c r="I35" s="16"/>
    </row>
    <row r="36" spans="2:10" ht="15">
      <c r="B36" s="15" t="s">
        <v>49</v>
      </c>
      <c r="C36" s="16"/>
      <c r="D36" s="16"/>
      <c r="E36" s="16"/>
      <c r="F36" s="16"/>
      <c r="G36" s="16"/>
      <c r="H36" s="16">
        <v>0.69</v>
      </c>
      <c r="I36" s="16">
        <v>0.495</v>
      </c>
    </row>
    <row r="37" spans="2:10" ht="15">
      <c r="B37" s="15" t="s">
        <v>50</v>
      </c>
      <c r="C37" s="2"/>
      <c r="D37" s="2"/>
      <c r="E37" s="2"/>
      <c r="F37" s="2"/>
      <c r="G37" s="2"/>
      <c r="H37" s="2"/>
      <c r="I37" s="2"/>
    </row>
    <row r="38" spans="2:10" ht="15">
      <c r="B38" s="17" t="s">
        <v>51</v>
      </c>
      <c r="C38" s="3">
        <f>SUM(C28:C37)</f>
        <v>8.5640000000000018</v>
      </c>
      <c r="D38" s="3">
        <f t="shared" ref="D38:I38" si="1">SUM(D28:D37)</f>
        <v>69.175000000000011</v>
      </c>
      <c r="E38" s="3">
        <f t="shared" si="1"/>
        <v>-53.992250999999996</v>
      </c>
      <c r="F38" s="3">
        <f t="shared" si="1"/>
        <v>-64.907000000000011</v>
      </c>
      <c r="G38" s="3">
        <f t="shared" si="1"/>
        <v>82.111000000000004</v>
      </c>
      <c r="H38" s="3">
        <f t="shared" si="1"/>
        <v>-326.45799999999997</v>
      </c>
      <c r="I38" s="3">
        <f t="shared" si="1"/>
        <v>-68.699999999999989</v>
      </c>
      <c r="J38" s="4"/>
    </row>
    <row r="39" spans="2:10" ht="6" customHeight="1">
      <c r="B39" s="15"/>
      <c r="C39" s="16"/>
      <c r="D39" s="16"/>
      <c r="E39" s="16"/>
      <c r="F39" s="16"/>
      <c r="G39" s="16"/>
      <c r="H39" s="16"/>
      <c r="I39" s="16"/>
    </row>
    <row r="40" spans="2:10" ht="6" customHeight="1">
      <c r="B40" s="15"/>
      <c r="C40" s="16"/>
      <c r="D40" s="16"/>
      <c r="E40" s="16"/>
      <c r="F40" s="16"/>
      <c r="G40" s="16"/>
      <c r="H40" s="16"/>
      <c r="I40" s="16"/>
    </row>
    <row r="41" spans="2:10" ht="15">
      <c r="B41" s="17" t="s">
        <v>52</v>
      </c>
      <c r="C41" s="5">
        <f>C6+C26+C38</f>
        <v>33.905999999999999</v>
      </c>
      <c r="D41" s="5">
        <f t="shared" ref="D41:I41" si="2">D6+D26+D38</f>
        <v>115.179</v>
      </c>
      <c r="E41" s="5">
        <f t="shared" si="2"/>
        <v>24.602377000000004</v>
      </c>
      <c r="F41" s="5">
        <f t="shared" si="2"/>
        <v>66.826999999999998</v>
      </c>
      <c r="G41" s="5">
        <f t="shared" si="2"/>
        <v>408.17999999999995</v>
      </c>
      <c r="H41" s="5">
        <f t="shared" si="2"/>
        <v>360.88800000000003</v>
      </c>
      <c r="I41" s="5">
        <f t="shared" si="2"/>
        <v>432.32600000000002</v>
      </c>
      <c r="J41" s="4"/>
    </row>
    <row r="42" spans="2:10" ht="15">
      <c r="B42" s="15" t="s">
        <v>53</v>
      </c>
      <c r="C42" s="16"/>
      <c r="D42" s="16"/>
      <c r="E42" s="16"/>
      <c r="F42" s="16"/>
      <c r="G42" s="16"/>
      <c r="H42" s="16"/>
      <c r="I42" s="16"/>
    </row>
    <row r="43" spans="2:10" ht="15">
      <c r="B43" s="15" t="s">
        <v>39</v>
      </c>
      <c r="C43" s="16">
        <v>-3.7069999999999999</v>
      </c>
      <c r="D43" s="16">
        <v>-2.9980000000000002</v>
      </c>
      <c r="E43" s="16">
        <v>-4.9160589999999997</v>
      </c>
      <c r="F43" s="16">
        <v>-18.539000000000001</v>
      </c>
      <c r="G43" s="16">
        <v>-62.262</v>
      </c>
      <c r="H43" s="16">
        <v>-148.708</v>
      </c>
      <c r="I43" s="16">
        <v>-88.119</v>
      </c>
    </row>
    <row r="44" spans="2:10" ht="15">
      <c r="B44" s="15" t="s">
        <v>54</v>
      </c>
      <c r="C44" s="16"/>
      <c r="D44" s="16"/>
      <c r="E44" s="16"/>
      <c r="F44" s="16"/>
      <c r="G44" s="16"/>
      <c r="H44" s="16"/>
      <c r="I44" s="16"/>
    </row>
    <row r="45" spans="2:10" ht="15">
      <c r="B45" s="15" t="s">
        <v>55</v>
      </c>
      <c r="C45" s="2"/>
      <c r="D45" s="2"/>
      <c r="E45" s="2"/>
      <c r="F45" s="2"/>
      <c r="G45" s="2"/>
      <c r="H45" s="2"/>
      <c r="I45" s="2"/>
    </row>
    <row r="46" spans="2:10" ht="15.75" thickBot="1">
      <c r="B46" s="17" t="s">
        <v>56</v>
      </c>
      <c r="C46" s="6">
        <f>SUM(C41:C45)</f>
        <v>30.198999999999998</v>
      </c>
      <c r="D46" s="6">
        <f t="shared" ref="D46:I46" si="3">SUM(D41:D45)</f>
        <v>112.181</v>
      </c>
      <c r="E46" s="6">
        <f t="shared" si="3"/>
        <v>19.686318000000004</v>
      </c>
      <c r="F46" s="6">
        <f t="shared" si="3"/>
        <v>48.287999999999997</v>
      </c>
      <c r="G46" s="6">
        <f t="shared" si="3"/>
        <v>345.91799999999995</v>
      </c>
      <c r="H46" s="6">
        <f t="shared" si="3"/>
        <v>212.18000000000004</v>
      </c>
      <c r="I46" s="6">
        <f t="shared" si="3"/>
        <v>344.20699999999999</v>
      </c>
      <c r="J46" s="4"/>
    </row>
    <row r="47" spans="2:10" ht="6" customHeight="1" thickTop="1">
      <c r="B47" s="15"/>
      <c r="C47" s="16"/>
      <c r="D47" s="16"/>
      <c r="E47" s="16"/>
      <c r="F47" s="16"/>
      <c r="G47" s="16"/>
      <c r="H47" s="16"/>
      <c r="I47" s="16"/>
    </row>
    <row r="48" spans="2:10" ht="15">
      <c r="B48" s="15" t="s">
        <v>57</v>
      </c>
      <c r="C48" s="16">
        <v>-109.967</v>
      </c>
      <c r="D48" s="16">
        <v>-96.066000000000003</v>
      </c>
      <c r="E48" s="16">
        <v>-165.895824</v>
      </c>
      <c r="F48" s="16">
        <v>-25.535</v>
      </c>
      <c r="G48" s="16">
        <v>-290.822</v>
      </c>
      <c r="H48" s="16">
        <v>-178.43299999999999</v>
      </c>
      <c r="I48" s="16">
        <v>-621.928</v>
      </c>
    </row>
    <row r="49" spans="2:10" ht="15">
      <c r="B49" s="15" t="s">
        <v>58</v>
      </c>
      <c r="C49" s="16"/>
      <c r="D49" s="16">
        <v>1.25</v>
      </c>
      <c r="E49" s="16"/>
      <c r="F49" s="16">
        <v>11.393000000000001</v>
      </c>
      <c r="G49" s="16"/>
      <c r="H49" s="16"/>
      <c r="I49" s="16"/>
    </row>
    <row r="50" spans="2:10" ht="15">
      <c r="B50" s="15" t="s">
        <v>30</v>
      </c>
      <c r="C50" s="16"/>
      <c r="D50" s="16"/>
      <c r="E50" s="16"/>
      <c r="F50" s="16"/>
      <c r="G50" s="16"/>
      <c r="H50" s="16"/>
      <c r="I50" s="16"/>
    </row>
    <row r="51" spans="2:10" ht="15">
      <c r="B51" s="15" t="s">
        <v>31</v>
      </c>
      <c r="C51" s="16"/>
      <c r="D51" s="16"/>
      <c r="E51" s="16"/>
      <c r="F51" s="16"/>
      <c r="G51" s="16"/>
      <c r="H51" s="16"/>
      <c r="I51" s="16"/>
    </row>
    <row r="52" spans="2:10" ht="15">
      <c r="B52" s="15" t="s">
        <v>59</v>
      </c>
      <c r="C52" s="16"/>
      <c r="D52" s="16"/>
      <c r="E52" s="16">
        <v>-2.5266500000000001</v>
      </c>
      <c r="F52" s="16"/>
      <c r="G52" s="16"/>
      <c r="H52" s="16"/>
      <c r="I52" s="16"/>
    </row>
    <row r="53" spans="2:10" ht="15">
      <c r="B53" s="15" t="s">
        <v>60</v>
      </c>
      <c r="C53" s="16">
        <v>5.7949999999999999</v>
      </c>
      <c r="D53" s="16"/>
      <c r="E53" s="16">
        <v>0.89573499999999995</v>
      </c>
      <c r="F53" s="16"/>
      <c r="G53" s="16"/>
      <c r="H53" s="16"/>
      <c r="I53" s="16"/>
    </row>
    <row r="54" spans="2:10" ht="15">
      <c r="B54" s="15" t="s">
        <v>61</v>
      </c>
      <c r="C54" s="16"/>
      <c r="D54" s="16"/>
      <c r="E54" s="16"/>
      <c r="F54" s="16"/>
      <c r="G54" s="16"/>
      <c r="H54" s="16"/>
      <c r="I54" s="16"/>
    </row>
    <row r="55" spans="2:10" ht="15">
      <c r="B55" s="15" t="s">
        <v>62</v>
      </c>
      <c r="C55" s="16"/>
      <c r="D55" s="16"/>
      <c r="E55" s="16"/>
      <c r="F55" s="16"/>
      <c r="G55" s="16"/>
      <c r="H55" s="16"/>
      <c r="I55" s="16"/>
    </row>
    <row r="56" spans="2:10" ht="15">
      <c r="B56" s="15" t="s">
        <v>18</v>
      </c>
      <c r="C56" s="16">
        <v>0.41</v>
      </c>
      <c r="D56" s="16">
        <v>0.28000000000000003</v>
      </c>
      <c r="E56" s="16"/>
      <c r="F56" s="16">
        <v>1.18</v>
      </c>
      <c r="G56" s="16">
        <v>3.645</v>
      </c>
      <c r="H56" s="16">
        <v>13.804</v>
      </c>
      <c r="I56" s="16">
        <v>31.221</v>
      </c>
    </row>
    <row r="57" spans="2:10" ht="15">
      <c r="B57" s="15" t="s">
        <v>63</v>
      </c>
      <c r="C57" s="16"/>
      <c r="D57" s="16"/>
      <c r="E57" s="16"/>
      <c r="F57" s="16"/>
      <c r="G57" s="16"/>
      <c r="H57" s="16"/>
      <c r="I57" s="16"/>
    </row>
    <row r="58" spans="2:10" ht="15">
      <c r="B58" s="15" t="s">
        <v>19</v>
      </c>
      <c r="C58" s="16"/>
      <c r="D58" s="16"/>
      <c r="E58" s="16"/>
      <c r="F58" s="16"/>
      <c r="G58" s="16"/>
      <c r="H58" s="16"/>
      <c r="I58" s="16"/>
    </row>
    <row r="59" spans="2:10" ht="15">
      <c r="B59" s="15" t="s">
        <v>20</v>
      </c>
      <c r="C59" s="16"/>
      <c r="D59" s="16"/>
      <c r="E59" s="16">
        <v>75.286291000000006</v>
      </c>
      <c r="F59" s="16">
        <v>-28.536000000000001</v>
      </c>
      <c r="G59" s="16">
        <v>-18.079999999999998</v>
      </c>
      <c r="H59" s="16">
        <v>-62.905000000000001</v>
      </c>
      <c r="I59" s="16">
        <v>-128.852</v>
      </c>
    </row>
    <row r="60" spans="2:10" ht="15">
      <c r="B60" s="15" t="s">
        <v>21</v>
      </c>
      <c r="C60" s="16"/>
      <c r="D60" s="16"/>
      <c r="E60" s="16"/>
      <c r="F60" s="16"/>
      <c r="G60" s="16"/>
      <c r="H60" s="16"/>
      <c r="I60" s="16"/>
    </row>
    <row r="61" spans="2:10" ht="15">
      <c r="B61" s="15" t="s">
        <v>64</v>
      </c>
      <c r="C61" s="2"/>
      <c r="D61" s="2"/>
      <c r="E61" s="2"/>
      <c r="F61" s="2"/>
      <c r="G61" s="2"/>
      <c r="H61" s="2"/>
      <c r="I61" s="2"/>
    </row>
    <row r="62" spans="2:10" ht="15.75" thickBot="1">
      <c r="B62" s="17" t="s">
        <v>65</v>
      </c>
      <c r="C62" s="6">
        <f>SUM(C48:C61)</f>
        <v>-103.762</v>
      </c>
      <c r="D62" s="6">
        <f t="shared" ref="D62:I62" si="4">SUM(D48:D61)</f>
        <v>-94.536000000000001</v>
      </c>
      <c r="E62" s="6">
        <f t="shared" si="4"/>
        <v>-92.240447999999986</v>
      </c>
      <c r="F62" s="6">
        <f t="shared" si="4"/>
        <v>-41.498000000000005</v>
      </c>
      <c r="G62" s="6">
        <f t="shared" si="4"/>
        <v>-305.25700000000001</v>
      </c>
      <c r="H62" s="6">
        <f t="shared" si="4"/>
        <v>-227.53399999999999</v>
      </c>
      <c r="I62" s="6">
        <f t="shared" si="4"/>
        <v>-719.55899999999997</v>
      </c>
      <c r="J62" s="4"/>
    </row>
    <row r="63" spans="2:10" ht="6" customHeight="1" thickTop="1">
      <c r="B63" s="15"/>
      <c r="C63" s="16"/>
      <c r="D63" s="16"/>
      <c r="E63" s="16"/>
      <c r="F63" s="16"/>
      <c r="G63" s="16"/>
      <c r="H63" s="16"/>
      <c r="I63" s="16"/>
    </row>
    <row r="64" spans="2:10" ht="15">
      <c r="B64" s="15" t="s">
        <v>66</v>
      </c>
      <c r="C64" s="16">
        <v>67.378</v>
      </c>
      <c r="D64" s="16"/>
      <c r="E64" s="16">
        <v>73.373661999999996</v>
      </c>
      <c r="F64" s="16"/>
      <c r="G64" s="16"/>
      <c r="H64" s="16"/>
      <c r="I64" s="16"/>
    </row>
    <row r="65" spans="2:9" ht="15">
      <c r="B65" s="15" t="s">
        <v>67</v>
      </c>
      <c r="C65" s="16"/>
      <c r="D65" s="16">
        <v>30.94</v>
      </c>
      <c r="E65" s="16"/>
      <c r="F65" s="16"/>
      <c r="G65" s="16">
        <v>55.405000000000001</v>
      </c>
      <c r="H65" s="16"/>
      <c r="I65" s="16">
        <v>375.42099999999999</v>
      </c>
    </row>
    <row r="66" spans="2:9" ht="15">
      <c r="B66" s="15" t="s">
        <v>68</v>
      </c>
      <c r="C66" s="16"/>
      <c r="D66" s="16"/>
      <c r="E66" s="16"/>
      <c r="F66" s="16"/>
      <c r="G66" s="16"/>
      <c r="H66" s="16">
        <v>-129.69900000000001</v>
      </c>
      <c r="I66" s="16"/>
    </row>
    <row r="67" spans="2:9" ht="15">
      <c r="B67" s="15" t="s">
        <v>69</v>
      </c>
      <c r="C67" s="16"/>
      <c r="D67" s="16"/>
      <c r="E67" s="16"/>
      <c r="F67" s="16"/>
      <c r="G67" s="16"/>
      <c r="H67" s="16"/>
      <c r="I67" s="16"/>
    </row>
    <row r="68" spans="2:9" ht="15">
      <c r="B68" s="15" t="s">
        <v>70</v>
      </c>
      <c r="C68" s="16"/>
      <c r="D68" s="16"/>
      <c r="E68" s="16"/>
      <c r="F68" s="16"/>
      <c r="G68" s="16"/>
      <c r="H68" s="16"/>
      <c r="I68" s="16"/>
    </row>
    <row r="69" spans="2:9" ht="15">
      <c r="B69" s="15" t="s">
        <v>71</v>
      </c>
      <c r="C69" s="16"/>
      <c r="D69" s="16">
        <v>4.0659999999999998</v>
      </c>
      <c r="E69" s="16"/>
      <c r="F69" s="16">
        <v>8.0969999999999995</v>
      </c>
      <c r="G69" s="16">
        <v>39.148000000000003</v>
      </c>
      <c r="H69" s="16">
        <v>107.068</v>
      </c>
      <c r="I69" s="16">
        <v>-14.829000000000001</v>
      </c>
    </row>
    <row r="70" spans="2:9" ht="15">
      <c r="B70" s="15" t="s">
        <v>72</v>
      </c>
      <c r="C70" s="16"/>
      <c r="D70" s="16"/>
      <c r="E70" s="16"/>
      <c r="F70" s="16"/>
      <c r="G70" s="16"/>
      <c r="H70" s="16"/>
      <c r="I70" s="16"/>
    </row>
    <row r="71" spans="2:9" ht="15">
      <c r="B71" s="15" t="s">
        <v>73</v>
      </c>
      <c r="C71" s="16"/>
      <c r="D71" s="16"/>
      <c r="E71" s="16"/>
      <c r="F71" s="16"/>
      <c r="G71" s="16"/>
      <c r="H71" s="16"/>
      <c r="I71" s="16"/>
    </row>
    <row r="72" spans="2:9" ht="15">
      <c r="B72" s="15" t="s">
        <v>74</v>
      </c>
      <c r="C72" s="16"/>
      <c r="D72" s="16"/>
      <c r="E72" s="16"/>
      <c r="F72" s="16"/>
      <c r="G72" s="16"/>
      <c r="H72" s="16"/>
      <c r="I72" s="16"/>
    </row>
    <row r="73" spans="2:9" ht="15">
      <c r="B73" s="15" t="s">
        <v>75</v>
      </c>
      <c r="C73" s="16"/>
      <c r="D73" s="16"/>
      <c r="E73" s="16"/>
      <c r="F73" s="16"/>
      <c r="G73" s="16"/>
      <c r="H73" s="16"/>
      <c r="I73" s="16"/>
    </row>
    <row r="74" spans="2:9" ht="15">
      <c r="B74" s="15" t="s">
        <v>76</v>
      </c>
      <c r="C74" s="16"/>
      <c r="D74" s="16">
        <v>24.9</v>
      </c>
      <c r="E74" s="16"/>
      <c r="F74" s="16">
        <v>101.232</v>
      </c>
      <c r="G74" s="16"/>
      <c r="H74" s="16">
        <v>395.5</v>
      </c>
      <c r="I74" s="16">
        <v>0.23</v>
      </c>
    </row>
    <row r="75" spans="2:9" ht="15">
      <c r="B75" s="15" t="s">
        <v>77</v>
      </c>
      <c r="C75" s="16"/>
      <c r="D75" s="16"/>
      <c r="E75" s="16"/>
      <c r="F75" s="16"/>
      <c r="G75" s="16"/>
      <c r="H75" s="16"/>
      <c r="I75" s="16"/>
    </row>
    <row r="76" spans="2:9" ht="15">
      <c r="B76" s="15" t="s">
        <v>78</v>
      </c>
      <c r="C76" s="16"/>
      <c r="D76" s="16"/>
      <c r="E76" s="16"/>
      <c r="F76" s="16"/>
      <c r="G76" s="16"/>
      <c r="H76" s="16"/>
      <c r="I76" s="16"/>
    </row>
    <row r="77" spans="2:9" ht="15">
      <c r="B77" s="15" t="s">
        <v>79</v>
      </c>
      <c r="C77" s="16"/>
      <c r="D77" s="16"/>
      <c r="E77" s="16"/>
      <c r="F77" s="16"/>
      <c r="G77" s="16"/>
      <c r="H77" s="16"/>
      <c r="I77" s="16"/>
    </row>
    <row r="78" spans="2:9" ht="15">
      <c r="B78" s="15" t="s">
        <v>53</v>
      </c>
      <c r="C78" s="16">
        <v>-1.917</v>
      </c>
      <c r="D78" s="16">
        <v>-5.0990000000000002</v>
      </c>
      <c r="E78" s="16">
        <v>-11.109093</v>
      </c>
      <c r="F78" s="16">
        <v>-17.018999999999998</v>
      </c>
      <c r="G78" s="16">
        <v>-24.837</v>
      </c>
      <c r="H78" s="16">
        <v>-23.300999999999998</v>
      </c>
      <c r="I78" s="16">
        <v>-39.383000000000003</v>
      </c>
    </row>
    <row r="79" spans="2:9" ht="15">
      <c r="B79" s="15" t="s">
        <v>22</v>
      </c>
      <c r="C79" s="16"/>
      <c r="D79" s="16"/>
      <c r="E79" s="16"/>
      <c r="F79" s="16"/>
      <c r="G79" s="16"/>
      <c r="H79" s="16"/>
      <c r="I79" s="16"/>
    </row>
    <row r="80" spans="2:9" ht="15">
      <c r="B80" s="15" t="s">
        <v>23</v>
      </c>
      <c r="C80" s="16"/>
      <c r="D80" s="16"/>
      <c r="E80" s="16"/>
      <c r="F80" s="16"/>
      <c r="G80" s="16"/>
      <c r="H80" s="16"/>
      <c r="I80" s="16"/>
    </row>
    <row r="81" spans="2:10" ht="15">
      <c r="B81" s="15" t="s">
        <v>80</v>
      </c>
      <c r="C81" s="16"/>
      <c r="D81" s="16"/>
      <c r="E81" s="16"/>
      <c r="F81" s="16"/>
      <c r="G81" s="16"/>
      <c r="H81" s="16"/>
      <c r="I81" s="16"/>
    </row>
    <row r="82" spans="2:10" ht="15">
      <c r="B82" s="15" t="s">
        <v>24</v>
      </c>
      <c r="C82" s="16"/>
      <c r="D82" s="16"/>
      <c r="E82" s="16"/>
      <c r="F82" s="16"/>
      <c r="G82" s="16"/>
      <c r="H82" s="16"/>
      <c r="I82" s="16"/>
    </row>
    <row r="83" spans="2:10" ht="15">
      <c r="B83" s="15" t="s">
        <v>25</v>
      </c>
      <c r="C83" s="16"/>
      <c r="D83" s="16"/>
      <c r="E83" s="16"/>
      <c r="F83" s="16"/>
      <c r="G83" s="16"/>
      <c r="H83" s="16"/>
      <c r="I83" s="16"/>
    </row>
    <row r="84" spans="2:10" ht="15">
      <c r="B84" s="15" t="s">
        <v>81</v>
      </c>
      <c r="C84" s="2">
        <v>7.53</v>
      </c>
      <c r="D84" s="2"/>
      <c r="E84" s="2">
        <v>-45.025663000000002</v>
      </c>
      <c r="F84" s="2"/>
      <c r="G84" s="2"/>
      <c r="H84" s="2"/>
      <c r="I84" s="2"/>
    </row>
    <row r="85" spans="2:10" ht="15.75" thickBot="1">
      <c r="B85" s="17" t="s">
        <v>82</v>
      </c>
      <c r="C85" s="6">
        <f>SUM(C64:C84)</f>
        <v>72.991</v>
      </c>
      <c r="D85" s="6">
        <f t="shared" ref="D85:I85" si="5">SUM(D64:D84)</f>
        <v>54.807000000000002</v>
      </c>
      <c r="E85" s="6">
        <f t="shared" si="5"/>
        <v>17.238905999999993</v>
      </c>
      <c r="F85" s="6">
        <f t="shared" si="5"/>
        <v>92.31</v>
      </c>
      <c r="G85" s="6">
        <f t="shared" si="5"/>
        <v>69.715999999999994</v>
      </c>
      <c r="H85" s="6">
        <f t="shared" si="5"/>
        <v>349.56799999999998</v>
      </c>
      <c r="I85" s="6">
        <f t="shared" si="5"/>
        <v>321.43900000000002</v>
      </c>
      <c r="J85" s="4"/>
    </row>
    <row r="86" spans="2:10" ht="6" customHeight="1" thickTop="1">
      <c r="B86" s="15"/>
      <c r="C86" s="2"/>
      <c r="D86" s="2"/>
      <c r="E86" s="2"/>
      <c r="F86" s="2"/>
      <c r="G86" s="2"/>
      <c r="H86" s="2"/>
      <c r="I86" s="2"/>
    </row>
    <row r="87" spans="2:10" ht="15">
      <c r="B87" s="17" t="s">
        <v>83</v>
      </c>
      <c r="C87" s="18">
        <f t="shared" ref="C87:I87" si="6">SUM(C46,C62,C85)</f>
        <v>-0.57200000000000273</v>
      </c>
      <c r="D87" s="18">
        <f t="shared" si="6"/>
        <v>72.451999999999998</v>
      </c>
      <c r="E87" s="18">
        <f t="shared" si="6"/>
        <v>-55.315223999999994</v>
      </c>
      <c r="F87" s="18">
        <f t="shared" si="6"/>
        <v>99.1</v>
      </c>
      <c r="G87" s="18">
        <f t="shared" si="6"/>
        <v>110.37699999999994</v>
      </c>
      <c r="H87" s="18">
        <f t="shared" si="6"/>
        <v>334.21400000000006</v>
      </c>
      <c r="I87" s="18">
        <f t="shared" si="6"/>
        <v>-53.912999999999954</v>
      </c>
      <c r="J87" s="4"/>
    </row>
    <row r="88" spans="2:10" ht="15">
      <c r="B88" s="15" t="s">
        <v>84</v>
      </c>
      <c r="C88" s="16">
        <v>2.3239999999999998</v>
      </c>
      <c r="D88" s="16">
        <v>1.7509999999999999</v>
      </c>
      <c r="E88" s="16">
        <v>71.528385</v>
      </c>
      <c r="F88" s="16">
        <v>16.212</v>
      </c>
      <c r="G88" s="16">
        <v>115.312</v>
      </c>
      <c r="H88" s="16">
        <v>225.691</v>
      </c>
      <c r="I88" s="16">
        <v>559.90499999999997</v>
      </c>
    </row>
    <row r="89" spans="2:10" ht="15">
      <c r="B89" s="15" t="s">
        <v>85</v>
      </c>
      <c r="C89" s="16"/>
      <c r="D89" s="16"/>
      <c r="E89" s="16"/>
      <c r="F89" s="16"/>
      <c r="G89" s="16"/>
      <c r="H89" s="16"/>
      <c r="I89" s="16"/>
    </row>
    <row r="90" spans="2:10" ht="15">
      <c r="B90" s="15" t="s">
        <v>86</v>
      </c>
      <c r="C90" s="16"/>
      <c r="D90" s="16"/>
      <c r="E90" s="16"/>
      <c r="F90" s="16"/>
      <c r="G90" s="16"/>
      <c r="H90" s="16"/>
      <c r="I90" s="16"/>
    </row>
    <row r="91" spans="2:10" ht="15">
      <c r="B91" s="15" t="s">
        <v>26</v>
      </c>
      <c r="C91" s="16"/>
      <c r="D91" s="16"/>
      <c r="E91" s="16"/>
      <c r="F91" s="16"/>
      <c r="G91" s="16"/>
      <c r="H91" s="16"/>
      <c r="I91" s="16"/>
    </row>
    <row r="92" spans="2:10" ht="15">
      <c r="B92" s="15" t="s">
        <v>87</v>
      </c>
      <c r="C92" s="2"/>
      <c r="D92" s="2"/>
      <c r="E92" s="2"/>
      <c r="F92" s="2"/>
      <c r="G92" s="2"/>
      <c r="H92" s="2"/>
      <c r="I92" s="2"/>
    </row>
    <row r="93" spans="2:10" ht="15.75" thickBot="1">
      <c r="B93" s="17" t="s">
        <v>88</v>
      </c>
      <c r="C93" s="6">
        <f>SUM(C86:C91)</f>
        <v>1.7519999999999971</v>
      </c>
      <c r="D93" s="6">
        <f t="shared" ref="D93:I93" si="7">SUM(D86:D91)</f>
        <v>74.203000000000003</v>
      </c>
      <c r="E93" s="6">
        <f t="shared" si="7"/>
        <v>16.213161000000007</v>
      </c>
      <c r="F93" s="6">
        <f t="shared" si="7"/>
        <v>115.312</v>
      </c>
      <c r="G93" s="6">
        <f t="shared" si="7"/>
        <v>225.68899999999994</v>
      </c>
      <c r="H93" s="6">
        <f t="shared" si="7"/>
        <v>559.90500000000009</v>
      </c>
      <c r="I93" s="6">
        <f t="shared" si="7"/>
        <v>505.99200000000002</v>
      </c>
      <c r="J93" s="4"/>
    </row>
    <row r="94" spans="2:10" ht="6" customHeight="1" thickTop="1">
      <c r="C94" s="25"/>
      <c r="D94" s="25"/>
      <c r="E94" s="25"/>
      <c r="F94" s="25"/>
      <c r="G94" s="25"/>
      <c r="H94" s="25"/>
      <c r="I94" s="25"/>
    </row>
    <row r="95" spans="2:10" ht="15">
      <c r="B95" s="1"/>
    </row>
  </sheetData>
  <printOptions horizontalCentered="1"/>
  <pageMargins left="0.2" right="0.2" top="0.25" bottom="0.25" header="0.05" footer="0.05"/>
  <pageSetup paperSize="9" fitToHeight="0" orientation="landscape" horizontalDpi="1200" verticalDpi="1200" r:id="rId1"/>
  <headerFooter>
    <oddFooter>&amp;C Page &amp;P of &amp;N 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Cover</vt:lpstr>
      <vt:lpstr>CF Dashboard</vt:lpstr>
      <vt:lpstr>CF BS</vt:lpstr>
      <vt:lpstr>CF IS</vt:lpstr>
      <vt:lpstr>CF CFS</vt:lpstr>
      <vt:lpstr>Equity &amp; reserves</vt:lpstr>
      <vt:lpstr>Borrowings</vt:lpstr>
      <vt:lpstr>Other liabilities</vt:lpstr>
      <vt:lpstr>Other assets</vt:lpstr>
      <vt:lpstr>PPE</vt:lpstr>
      <vt:lpstr>Working capital</vt:lpstr>
      <vt:lpstr>Revenue &amp; OI</vt:lpstr>
      <vt:lpstr>Expenses</vt:lpstr>
      <vt:lpstr>Detailed CFS</vt:lpstr>
      <vt:lpstr>'CF IS'!Print_Area</vt:lpstr>
      <vt:lpstr>Borrowings!Print_Titles</vt:lpstr>
      <vt:lpstr>'CF BS'!Print_Titles</vt:lpstr>
      <vt:lpstr>'CF CFS'!Print_Titles</vt:lpstr>
      <vt:lpstr>'CF Dashboard'!Print_Titles</vt:lpstr>
      <vt:lpstr>'CF IS'!Print_Titles</vt:lpstr>
      <vt:lpstr>'Detailed CFS'!Print_Titles</vt:lpstr>
      <vt:lpstr>'Equity &amp; reserves'!Print_Titles</vt:lpstr>
      <vt:lpstr>Expenses!Print_Titles</vt:lpstr>
      <vt:lpstr>'Other assets'!Print_Titles</vt:lpstr>
      <vt:lpstr>'Other liabilities'!Print_Titles</vt:lpstr>
      <vt:lpstr>PPE!Print_Titles</vt:lpstr>
      <vt:lpstr>'Revenue &amp; OI'!Print_Titles</vt:lpstr>
      <vt:lpstr>'Working capital'!Print_Titles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 Pattni</dc:creator>
  <cp:lastModifiedBy>Dhruv Broker</cp:lastModifiedBy>
  <dcterms:created xsi:type="dcterms:W3CDTF">2025-08-18T06:40:29Z</dcterms:created>
  <dcterms:modified xsi:type="dcterms:W3CDTF">2025-08-18T09:11:31Z</dcterms:modified>
</cp:coreProperties>
</file>